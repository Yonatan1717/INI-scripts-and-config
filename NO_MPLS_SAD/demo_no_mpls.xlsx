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anik\Music\INI\NO_MPLS_SAD\"/>
    </mc:Choice>
  </mc:AlternateContent>
  <xr:revisionPtr revIDLastSave="0" documentId="13_ncr:1_{EE23B823-7E55-4F59-B2C9-8E579AD4086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ite 1 (HUB)" sheetId="1" r:id="rId1"/>
    <sheet name="Site 2" sheetId="2" r:id="rId2"/>
    <sheet name="FLOW_POLIC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2" l="1"/>
  <c r="D27" i="2"/>
  <c r="B27" i="2"/>
  <c r="A27" i="2"/>
  <c r="A26" i="2"/>
  <c r="A26" i="1"/>
  <c r="E26" i="2"/>
  <c r="B26" i="2"/>
  <c r="E23" i="2"/>
  <c r="D23" i="2"/>
  <c r="C23" i="2"/>
  <c r="B23" i="2"/>
  <c r="A23" i="2"/>
  <c r="I20" i="2"/>
  <c r="C20" i="2"/>
  <c r="I19" i="2"/>
  <c r="C19" i="2"/>
  <c r="I18" i="2"/>
  <c r="C18" i="2"/>
  <c r="I17" i="2"/>
  <c r="C17" i="2"/>
  <c r="C14" i="2"/>
  <c r="C13" i="2"/>
  <c r="C12" i="2"/>
  <c r="C11" i="2"/>
  <c r="E8" i="2"/>
  <c r="D8" i="2"/>
  <c r="E7" i="2"/>
  <c r="D7" i="2"/>
  <c r="E6" i="2"/>
  <c r="D6" i="2"/>
  <c r="E5" i="2"/>
  <c r="D26" i="2" s="1"/>
  <c r="D5" i="2"/>
  <c r="H5" i="2" s="1"/>
  <c r="N2" i="2"/>
  <c r="M2" i="2"/>
  <c r="K2" i="2"/>
  <c r="J2" i="2"/>
  <c r="H2" i="2"/>
  <c r="C2" i="2"/>
  <c r="E26" i="1"/>
  <c r="B26" i="1"/>
  <c r="I23" i="1" a="1"/>
  <c r="E23" i="1"/>
  <c r="D23" i="1"/>
  <c r="C23" i="1"/>
  <c r="B23" i="1"/>
  <c r="A23" i="1"/>
  <c r="C20" i="1"/>
  <c r="C19" i="1"/>
  <c r="C18" i="1"/>
  <c r="C17" i="1"/>
  <c r="C14" i="1"/>
  <c r="C13" i="1"/>
  <c r="C12" i="1"/>
  <c r="C11" i="1"/>
  <c r="E8" i="1"/>
  <c r="D8" i="1"/>
  <c r="H8" i="1" s="1"/>
  <c r="E7" i="1"/>
  <c r="D7" i="1"/>
  <c r="H7" i="1" s="1"/>
  <c r="E6" i="1"/>
  <c r="D6" i="1"/>
  <c r="E5" i="1"/>
  <c r="D26" i="1" s="1"/>
  <c r="D5" i="1"/>
  <c r="H5" i="1" s="1"/>
  <c r="C2" i="1"/>
  <c r="K27" i="2" l="1"/>
  <c r="C27" i="2"/>
  <c r="G8" i="2"/>
  <c r="H8" i="2"/>
  <c r="H7" i="2"/>
  <c r="G7" i="2"/>
  <c r="H6" i="2"/>
  <c r="G6" i="2"/>
  <c r="E20" i="2"/>
  <c r="E19" i="2"/>
  <c r="K26" i="1"/>
  <c r="H6" i="1"/>
  <c r="G6" i="1"/>
  <c r="G5" i="2"/>
  <c r="G7" i="1"/>
  <c r="E17" i="1"/>
  <c r="E18" i="1"/>
  <c r="C26" i="1"/>
  <c r="G8" i="1"/>
  <c r="E19" i="1"/>
  <c r="E20" i="1"/>
  <c r="E17" i="2"/>
  <c r="G5" i="1"/>
  <c r="E18" i="2"/>
  <c r="C26" i="2"/>
  <c r="K26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<sst xmlns="http://schemas.openxmlformats.org/spreadsheetml/2006/main" count="341" uniqueCount="132">
  <si>
    <t>site</t>
  </si>
  <si>
    <t>intf_prefix</t>
  </si>
  <si>
    <t>router-id</t>
  </si>
  <si>
    <t>brukernavn</t>
  </si>
  <si>
    <t>passord</t>
  </si>
  <si>
    <t>vty_lines</t>
  </si>
  <si>
    <t>secret</t>
  </si>
  <si>
    <t>ISP-VLAN</t>
  </si>
  <si>
    <t>tacacs_key</t>
  </si>
  <si>
    <t>DHCP</t>
  </si>
  <si>
    <t>dns_servers</t>
  </si>
  <si>
    <t>tacacs_server_ip</t>
  </si>
  <si>
    <t>syslog_server_ip</t>
  </si>
  <si>
    <t>urpf_mode</t>
  </si>
  <si>
    <t>radius_server_ip</t>
  </si>
  <si>
    <t>radius_key</t>
  </si>
  <si>
    <t>dmvpn_phase</t>
  </si>
  <si>
    <t>tacacs_syntax</t>
  </si>
  <si>
    <t>radius_syntax</t>
  </si>
  <si>
    <t>dot1x_syntax</t>
  </si>
  <si>
    <t>eigrp_syntax</t>
  </si>
  <si>
    <t>vrf_syntax</t>
  </si>
  <si>
    <t>ike_version</t>
  </si>
  <si>
    <t>secret_type</t>
  </si>
  <si>
    <t>trunk_encapsulation</t>
  </si>
  <si>
    <t>g0/</t>
  </si>
  <si>
    <t>admin</t>
  </si>
  <si>
    <t>$9$0nNdTjfcaOQFlP$4VgON16XmZXlfGr4BcOzEN7OoRxfPIAcXDQ0afwx67k</t>
  </si>
  <si>
    <t>TACACS-KEY</t>
  </si>
  <si>
    <t>192.168.255.1</t>
  </si>
  <si>
    <t>10.1.10.10</t>
  </si>
  <si>
    <t>OFF</t>
  </si>
  <si>
    <t>RADIUS-KEY</t>
  </si>
  <si>
    <t>NEW</t>
  </si>
  <si>
    <t>AUTH</t>
  </si>
  <si>
    <t>NAMED</t>
  </si>
  <si>
    <t>OLD</t>
  </si>
  <si>
    <t>IKEV2</t>
  </si>
  <si>
    <t>AUTO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</si>
  <si>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</si>
  <si>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</si>
  <si>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</si>
  <si>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</si>
  <si>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</si>
  <si>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</si>
  <si>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</si>
  <si>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</si>
  <si>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antall-res</t>
  </si>
  <si>
    <t>pri-afxx</t>
  </si>
  <si>
    <t>pri-1-10</t>
  </si>
  <si>
    <t>MGMT</t>
  </si>
  <si>
    <t>255.255.255.0</t>
  </si>
  <si>
    <t>INET</t>
  </si>
  <si>
    <t>UNET</t>
  </si>
  <si>
    <t>PA</t>
  </si>
  <si>
    <t>MONITORING</t>
  </si>
  <si>
    <t>loopback</t>
  </si>
  <si>
    <t>laddr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</si>
  <si>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</si>
  <si>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</si>
  <si>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</si>
  <si>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</si>
  <si>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</si>
  <si>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</si>
  <si>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</si>
  <si>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</si>
  <si>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</si>
  <si>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multipoint</t>
  </si>
  <si>
    <t>tunnel 20</t>
  </si>
  <si>
    <t>tunnel 30</t>
  </si>
  <si>
    <t>tunnel 40</t>
  </si>
  <si>
    <t>etherchan_num</t>
  </si>
  <si>
    <t>span_mode</t>
  </si>
  <si>
    <t>dot1x_vlans</t>
  </si>
  <si>
    <t>20,30</t>
  </si>
  <si>
    <t>SW</t>
  </si>
  <si>
    <t>MGMT Vlan</t>
  </si>
  <si>
    <t>MGMT ip</t>
  </si>
  <si>
    <t>num_ports_tot</t>
  </si>
  <si>
    <t>skiped_ports</t>
  </si>
  <si>
    <t>num_downlink</t>
  </si>
  <si>
    <t>vlan-antall</t>
  </si>
  <si>
    <t>num_port_ledig</t>
  </si>
  <si>
    <t>MONITORING ip</t>
  </si>
  <si>
    <t>DOT1Q_CMD</t>
  </si>
  <si>
    <t>protocol</t>
  </si>
  <si>
    <t>destination_port</t>
  </si>
  <si>
    <t>action</t>
  </si>
  <si>
    <t>FLOW_POLICY</t>
  </si>
  <si>
    <t>Hvordan den brukes</t>
  </si>
  <si>
    <t>udp</t>
  </si>
  <si>
    <t>permit</t>
  </si>
  <si>
    <t>Rekkefølge</t>
  </si>
  <si>
    <t>Regler evalueres ovenfra og ned. Generatoren avslutter hver ACL med deny ip any any log.</t>
  </si>
  <si>
    <t>ip</t>
  </si>
  <si>
    <t>any</t>
  </si>
  <si>
    <t>VRF-navn</t>
  </si>
  <si>
    <t>Destination=MGMT/INET/UNET/PA betyr kjente LAN-nett i VRF-en på tvers av sites. MGMT inkluderer også MGMT-loopbacks for administrasjon.</t>
  </si>
  <si>
    <t>INTERNET/ANY</t>
  </si>
  <si>
    <t>Matcher any. Legg eksplisitte deny-regler før brede Internet-permits når interne mål skal blokkeres.</t>
  </si>
  <si>
    <t>deny</t>
  </si>
  <si>
    <t>Spesialregel som genererer UDP 68 -&gt; 67 slik at DHCP Discover ikke blokkeres av source-subnet match.</t>
  </si>
  <si>
    <t>DNS</t>
  </si>
  <si>
    <t>DNS/TACACS/SYSLOG</t>
  </si>
  <si>
    <t>Slår opp server-IP automatisk fra metadata i site-arkene.</t>
  </si>
  <si>
    <t>tcp</t>
  </si>
  <si>
    <t>uRPF</t>
  </si>
  <si>
    <t>urpf_mode står OFF som standard. STRICT/LOOSE er tilgjengelig, men må testes mot DHCP/asymmetrisk routing.</t>
  </si>
  <si>
    <t>INTERNET</t>
  </si>
  <si>
    <t>Ikke med i standard klient-flow-policy. ERSPAN/MONITORING behandles som infrastruktur slik at speiltrafikken ikke blokkeres ved et uhell.</t>
  </si>
  <si>
    <t>Tilpass</t>
  </si>
  <si>
    <t>Endre radene i A:E til den faktiske tjenestematrisen. Bare sources som finnes i policyen får en generert ingress-ACL.</t>
  </si>
  <si>
    <t>RADIUS</t>
  </si>
  <si>
    <t>Destination=RADIUS kan brukes som symbolsk mål og slår opp radius_server_ip fra site-metadata.</t>
  </si>
  <si>
    <t>802.1X</t>
  </si>
  <si>
    <t xml:space="preserve">dot1x_vlans i switch-metadata styrer hvilke klient-VLAN som får 802.1X på accessportene. </t>
  </si>
  <si>
    <t>snmpv3_enabled</t>
  </si>
  <si>
    <t>snmp_server_ip</t>
  </si>
  <si>
    <t>snmp_user</t>
  </si>
  <si>
    <t>snmp_auth_password</t>
  </si>
  <si>
    <t>snmp_priv_password</t>
  </si>
  <si>
    <t>nmsuser</t>
  </si>
  <si>
    <t>SNMP-AUTH-KEY</t>
  </si>
  <si>
    <t>SNMP-PRIV-KEY</t>
  </si>
  <si>
    <t>200.1-20.5-30.5-40.5</t>
  </si>
  <si>
    <t>8.8.8.8,1.1.1.1</t>
  </si>
  <si>
    <t>SPAN</t>
  </si>
  <si>
    <t>0 - 15</t>
  </si>
  <si>
    <t>g1/0/</t>
  </si>
  <si>
    <t>20,30,40</t>
  </si>
  <si>
    <t>20.5-30.5-40.5</t>
  </si>
  <si>
    <t>20.2-30.2-40.2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</si>
</sst>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1"/>
      <color rgb="FF000000"/>
      <name val="Arial"/>
    </font>
    <font>
      <b/>
      <sz val="11"/>
      <name val="Arial"/>
    </font>
    <font>
      <sz val="11"/>
      <name val="Arial"/>
    </font>
    <font>
      <sz val="11"/>
      <name val="Arial"/>
    </font>
    <font>
      <b/>
      <sz val="10"/>
      <color rgb="FFFFFFFF"/>
      <name val="Arial"/>
    </font>
    <font>
      <sz val="11"/>
      <name val="Arial"/>
    </font>
    <font>
      <b/>
      <sz val="10"/>
      <name val="Arial"/>
    </font>
    <font>
      <sz val="10"/>
      <name val="Arial"/>
    </font>
    <font>
      <b/>
      <sz val="11"/>
      <name val="Arial"/>
    </font>
    <font>
      <sz val="11"/>
      <name val="Arial"/>
    </font>
    <font>
      <sz val="11"/>
      <name val="Arial"/>
    </font>
    <font>
      <sz val="1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2EAD55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2EAD55"/>
      </patternFill>
    </fill>
    <fill>
      <patternFill patternType="solid">
        <fgColor theme="7"/>
      </patternFill>
    </fill>
    <fill>
      <patternFill patternType="solid">
        <fgColor rgb="FF2EAD55"/>
      </patternFill>
    </fill>
  </fills>
  <borders count="3">
    <border>
      <left/>
      <right/>
      <top/>
      <bottom/>
      <diagonal/>
    </border>
    <border>
      <left/>
      <right style="thin">
        <color theme="7"/>
      </right>
      <top style="thin">
        <color theme="7"/>
      </top>
      <bottom/>
      <diagonal/>
    </border>
    <border>
      <left/>
      <right style="thin">
        <color theme="7"/>
      </right>
      <top style="thin">
        <color theme="7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1" fillId="0" borderId="0" xfId="0" applyFont="1"/>
    <xf numFmtId="0" fontId="12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6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13" fillId="0" borderId="0" xfId="0" applyFont="1"/>
    <xf numFmtId="0" fontId="14" fillId="2" borderId="0" xfId="0" applyFont="1" applyFill="1"/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5" fillId="0" borderId="0" xfId="0" applyFont="1"/>
    <xf numFmtId="0" fontId="16" fillId="0" borderId="0" xfId="0" applyFont="1" applyAlignment="1">
      <alignment horizontal="left" vertical="center"/>
    </xf>
    <xf numFmtId="0" fontId="14" fillId="0" borderId="0" xfId="0" applyFont="1"/>
    <xf numFmtId="0" fontId="1" fillId="0" borderId="0" xfId="0" applyFont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0" xfId="0" applyFont="1" applyAlignment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0" fillId="0" borderId="0" xfId="0" applyAlignment="1">
      <alignment vertical="center"/>
    </xf>
    <xf numFmtId="0" fontId="14" fillId="5" borderId="1" xfId="0" applyFont="1" applyFill="1" applyBorder="1"/>
    <xf numFmtId="0" fontId="14" fillId="6" borderId="1" xfId="0" applyFont="1" applyFill="1" applyBorder="1" applyAlignment="1">
      <alignment horizontal="center"/>
    </xf>
    <xf numFmtId="0" fontId="18" fillId="0" borderId="0" xfId="0" applyFont="1" applyAlignment="1">
      <alignment vertical="center"/>
    </xf>
    <xf numFmtId="0" fontId="5" fillId="0" borderId="0" xfId="0" applyFont="1"/>
    <xf numFmtId="0" fontId="14" fillId="7" borderId="2" xfId="0" applyFont="1" applyFill="1" applyBorder="1"/>
    <xf numFmtId="0" fontId="1" fillId="0" borderId="0" xfId="0" applyFont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wrapText="1"/>
    </xf>
    <xf numFmtId="0" fontId="19" fillId="0" borderId="0" xfId="0" applyFont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0" xfId="0" applyFont="1" applyAlignment="1">
      <alignment wrapText="1"/>
    </xf>
    <xf numFmtId="0" fontId="4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" fillId="0" borderId="0" xfId="0" applyNumberFormat="1" applyFont="1" applyAlignment="1">
      <alignment vertical="center"/>
    </xf>
    <xf numFmtId="0" fontId="10" fillId="0" borderId="0" xfId="0" applyFont="1"/>
  </cellXfs>
  <cellStyles count="1">
    <cellStyle name="Normal" xfId="0" builtinId="0"/>
  </cellStyles>
  <dxfs count="111">
    <dxf>
      <font>
        <sz val="11"/>
        <color theme="1"/>
      </font>
      <alignment horizontal="left" vertical="center" textRotation="0" wrapText="0" indent="0" justifyLastLine="0" shrinkToFit="0" readingOrder="0"/>
    </dxf>
    <dxf>
      <numFmt numFmtId="0" formatCode="General"/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color theme="1"/>
      </font>
    </dxf>
    <dxf>
      <font>
        <sz val="11"/>
        <color auto="1"/>
        <family val="2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0" formatCode="General"/>
    </dxf>
    <dxf>
      <numFmt numFmtId="0" formatCode="General"/>
    </dxf>
    <dxf>
      <font>
        <u val="none"/>
        <sz val="11"/>
        <color rgb="FF000000"/>
        <name val="Arial"/>
        <scheme val="none"/>
      </font>
    </dxf>
    <dxf>
      <numFmt numFmtId="0" formatCode="General"/>
    </dxf>
    <dxf>
      <numFmt numFmtId="0" formatCode="General"/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1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AD2">
  <tableColumns count="30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00000000-0010-0000-0000-000007000000}" name="secret" dataDxfId="110"/>
    <tableColumn id="25" xr3:uid="{00000000-0010-0000-0000-000019000000}" name="ISP-VLAN" dataDxfId="109"/>
    <tableColumn id="8" xr3:uid="{00000000-0010-0000-0000-000008000000}" name="tacacs_key" dataDxfId="108"/>
    <tableColumn id="9" xr3:uid="{00000000-0010-0000-0000-000009000000}" name="DHCP" dataDxfId="107"/>
    <tableColumn id="10" xr3:uid="{00000000-0010-0000-0000-00000A000000}" name="dns_servers" dataDxfId="106"/>
    <tableColumn id="11" xr3:uid="{00000000-0010-0000-0000-00000B000000}" name="tacacs_server_ip" dataDxfId="105"/>
    <tableColumn id="12" xr3:uid="{00000000-0010-0000-0000-00000C000000}" name="syslog_server_ip" dataDxfId="104"/>
    <tableColumn id="13" xr3:uid="{00000000-0010-0000-0000-00000D000000}" name="urpf_mode" dataDxfId="103"/>
    <tableColumn id="14" xr3:uid="{00000000-0010-0000-0000-00000E000000}" name="radius_server_ip" dataDxfId="102"/>
    <tableColumn id="15" xr3:uid="{00000000-0010-0000-0000-00000F000000}" name="radius_key" dataDxfId="101"/>
    <tableColumn id="16" xr3:uid="{00000000-0010-0000-0000-000010000000}" name="dmvpn_phase" dataDxfId="100"/>
    <tableColumn id="17" xr3:uid="{00000000-0010-0000-0000-000011000000}" name="tacacs_syntax" dataDxfId="99"/>
    <tableColumn id="18" xr3:uid="{00000000-0010-0000-0000-000012000000}" name="radius_syntax" dataDxfId="98"/>
    <tableColumn id="19" xr3:uid="{00000000-0010-0000-0000-000013000000}" name="dot1x_syntax" dataDxfId="97"/>
    <tableColumn id="20" xr3:uid="{00000000-0010-0000-0000-000014000000}" name="eigrp_syntax" dataDxfId="96"/>
    <tableColumn id="21" xr3:uid="{00000000-0010-0000-0000-000015000000}" name="vrf_syntax" dataDxfId="95"/>
    <tableColumn id="22" xr3:uid="{00000000-0010-0000-0000-000016000000}" name="ike_version" dataDxfId="94"/>
    <tableColumn id="23" xr3:uid="{00000000-0010-0000-0000-000017000000}" name="secret_type" dataDxfId="93"/>
    <tableColumn id="24" xr3:uid="{00000000-0010-0000-0000-000018000000}" name="trunk_encapsulation" dataDxfId="92"/>
    <tableColumn id="26" xr3:uid="{7A70CB3D-3E69-4511-AFC7-833193219BEB}" name="snmpv3_enabled" dataDxfId="91"/>
    <tableColumn id="27" xr3:uid="{209B66CE-CA9A-4100-AF1F-D365CF1FFE1D}" name="snmp_server_ip" dataDxfId="90"/>
    <tableColumn id="28" xr3:uid="{35546B6C-3A4D-4CB1-960A-7557AC2139AF}" name="snmp_user" dataDxfId="89"/>
    <tableColumn id="29" xr3:uid="{EEE156DA-8F56-4FDB-B5BD-E05593FB26D6}" name="snmp_auth_password" dataDxfId="88"/>
    <tableColumn id="30" xr3:uid="{C5D4501A-8EFA-4918-A4F1-64D389B519DA}" name="snmp_priv_password" dataDxfId="87"/>
  </tableColumns>
  <tableStyleInfo name="TableStyleLight1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8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 dataDxfId="86">
      <calculatedColumnFormula>10&amp;"."&amp;($A$2)&amp;"."&amp;$B5&amp;"."&amp;0</calculatedColumnFormula>
    </tableColumn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 dataDxfId="85">
      <calculatedColumnFormula array="1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calculatedColumnFormula>
    </tableColumn>
    <tableColumn id="9" xr3:uid="{00000000-0010-0000-0100-000009000000}" name="antall-res" dataDxfId="84"/>
    <tableColumn id="10" xr3:uid="{00000000-0010-0000-0100-00000A000000}" name="pri-afxx"/>
    <tableColumn id="11" xr3:uid="{00000000-0010-0000-0100-00000B000000}" name="pri-1-10"/>
  </tableColumns>
  <tableStyleInfo name="TableStyleLight1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0:C14">
  <tableColumns count="3">
    <tableColumn id="1" xr3:uid="{00000000-0010-0000-0200-000001000000}" name="vrf"/>
    <tableColumn id="3" xr3:uid="{00000000-0010-0000-0200-000003000000}" name="loopback"/>
    <tableColumn id="4" xr3:uid="{00000000-0010-0000-0200-000004000000}" name="laddr">
      <calculatedColumnFormula>$A$2&amp;"."&amp;$A$2&amp;"."&amp;$A$2&amp;"."&amp;(B11)</calculatedColumnFormula>
    </tableColumn>
  </tableColumns>
  <tableStyleInfo name="TableStyleLight1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6:J20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 dataDxfId="83">
      <calculatedColumnFormula>172&amp;"."&amp;16&amp;"."&amp;$H17&amp;"."&amp;($A$2)</calculatedColumnFormula>
    </tableColumn>
    <tableColumn id="4" xr3:uid="{00000000-0010-0000-0300-000004000000}" name="mask"/>
    <tableColumn id="5" xr3:uid="{00000000-0010-0000-0300-000005000000}" name="source" dataDxfId="82">
      <calculatedColumnFormula>$C$2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TableStyleLight1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4000000}" name="Tabell131921" displayName="Tabell131921" ref="A22:I23" dataDxfId="81">
  <tableColumns count="9">
    <tableColumn id="1" xr3:uid="{00000000-0010-0000-0400-000001000000}" name="site" dataDxfId="80">
      <calculatedColumnFormula>A2</calculatedColumnFormula>
    </tableColumn>
    <tableColumn id="2" xr3:uid="{00000000-0010-0000-0400-000002000000}" name="brukernavn" dataDxfId="79"/>
    <tableColumn id="4" xr3:uid="{00000000-0010-0000-0400-000004000000}" name="passord" dataDxfId="78"/>
    <tableColumn id="5" xr3:uid="{00000000-0010-0000-0400-000005000000}" name="vty_lines" dataDxfId="77"/>
    <tableColumn id="3" xr3:uid="{00000000-0010-0000-0400-000003000000}" name="secret" dataDxfId="76"/>
    <tableColumn id="6" xr3:uid="{00000000-0010-0000-0400-000006000000}" name="etherchan_num" dataDxfId="75"/>
    <tableColumn id="7" xr3:uid="{00000000-0010-0000-0400-000007000000}" name="span_mode" dataDxfId="74"/>
    <tableColumn id="8" xr3:uid="{00000000-0010-0000-0400-000008000000}" name="dot1x_vlans" dataDxfId="73"/>
    <tableColumn id="9" xr3:uid="{00000000-0010-0000-0400-000009000000}" name="ISP-VLAN" dataDxfId="72">
      <calculatedColumnFormula array="1">Tabell5[ISP-VLAN]</calculatedColumnFormula>
    </tableColumn>
  </tableColumns>
  <tableStyleInfo name="TableStyleLight1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ell1618242825" displayName="Tabell1618242825" ref="A25:Q26" totalsRowShown="0">
  <tableColumns count="17">
    <tableColumn id="1" xr3:uid="{00000000-0010-0000-0500-000001000000}" name="SW" dataDxfId="12">
      <calculatedColumnFormula>ROW()-25</calculatedColumnFormula>
    </tableColumn>
    <tableColumn id="2" xr3:uid="{00000000-0010-0000-0500-000002000000}" name="MGMT Vlan" dataDxfId="11"/>
    <tableColumn id="3" xr3:uid="{00000000-0010-0000-0500-000003000000}" name="MGMT ip" dataDxfId="10">
      <calculatedColumnFormula>LEFT($G$5,LEN($G$5)-1)&amp;(RIGHT($G$5,1)+A26)</calculatedColumnFormula>
    </tableColumn>
    <tableColumn id="4" xr3:uid="{00000000-0010-0000-0500-000004000000}" name="gateway" dataDxfId="9">
      <calculatedColumnFormula>$E$5</calculatedColumnFormula>
    </tableColumn>
    <tableColumn id="5" xr3:uid="{00000000-0010-0000-0500-000005000000}" name="mask" dataDxfId="8">
      <calculatedColumnFormula>$F$5</calculatedColumnFormula>
    </tableColumn>
    <tableColumn id="10" xr3:uid="{00000000-0010-0000-0500-00000A000000}" name="num_ports_tot" dataDxfId="7"/>
    <tableColumn id="11" xr3:uid="{00000000-0010-0000-0500-00000B000000}" name="skiped_ports" dataDxfId="6"/>
    <tableColumn id="6" xr3:uid="{00000000-0010-0000-0500-000006000000}" name="num_downlink" dataDxfId="5"/>
    <tableColumn id="7" xr3:uid="{00000000-0010-0000-0500-000007000000}" name="vlan-antall" dataDxfId="4"/>
    <tableColumn id="8" xr3:uid="{00000000-0010-0000-0500-000008000000}" name="intf_prefix" dataDxfId="3"/>
    <tableColumn id="9" xr3:uid="{00000000-0010-0000-0500-000009000000}" name="num_port_ledig" dataDxfId="2">
      <calculatedColumnFormula>IF($A26=1,F26-G26-H26*$F$23-2-IF($L$2&lt;&gt;$M$2,1,0)-IF(OR(UPPER($G$23)="SPAN",UPPER($G$23)="ERSPAN",UPPER($G$23)="RSPAN"),1,0),F26-G26-(1+H26)*$F$23-1)</calculatedColumnFormula>
    </tableColumn>
    <tableColumn id="12" xr3:uid="{00000000-0010-0000-0500-00000C000000}" name="MONITORING ip" dataDxfId="1"/>
    <tableColumn id="13" xr3:uid="{00000000-0010-0000-0500-00000D000000}" name="tacacs_syntax"/>
    <tableColumn id="14" xr3:uid="{00000000-0010-0000-0500-00000E000000}" name="radius_syntax"/>
    <tableColumn id="15" xr3:uid="{00000000-0010-0000-0500-00000F000000}" name="dot1x_syntax"/>
    <tableColumn id="16" xr3:uid="{00000000-0010-0000-0500-000010000000}" name="secret_type"/>
    <tableColumn id="17" xr3:uid="{00000000-0010-0000-0500-000011000000}" name="trunk_encapsulation"/>
  </tableColumns>
  <tableStyleInfo name="TableStyleLight1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abell1" displayName="Tabell1" ref="A1:AA2" dataDxfId="71">
  <tableColumns count="27">
    <tableColumn id="1" xr3:uid="{00000000-0010-0000-0600-000001000000}" name="site" dataDxfId="70"/>
    <tableColumn id="2" xr3:uid="{00000000-0010-0000-0600-000002000000}" name="intf_prefix" dataDxfId="69"/>
    <tableColumn id="3" xr3:uid="{00000000-0010-0000-0600-000003000000}" name="router-id" dataDxfId="68"/>
    <tableColumn id="4" xr3:uid="{00000000-0010-0000-0600-000004000000}" name="brukernavn" dataDxfId="67"/>
    <tableColumn id="5" xr3:uid="{00000000-0010-0000-0600-000005000000}" name="passord" dataDxfId="66"/>
    <tableColumn id="6" xr3:uid="{00000000-0010-0000-0600-000006000000}" name="vty_lines" dataDxfId="65"/>
    <tableColumn id="7" xr3:uid="{00000000-0010-0000-0600-000007000000}" name="secret" dataDxfId="64"/>
    <tableColumn id="8" xr3:uid="{00000000-0010-0000-0600-000008000000}" name="tacacs_key" dataDxfId="63">
      <calculatedColumnFormula>'Site 1 (HUB)'!I2</calculatedColumnFormula>
    </tableColumn>
    <tableColumn id="9" xr3:uid="{00000000-0010-0000-0600-000009000000}" name="dns_servers" dataDxfId="62"/>
    <tableColumn id="10" xr3:uid="{00000000-0010-0000-0600-00000A000000}" name="tacacs_server_ip" dataDxfId="61">
      <calculatedColumnFormula>'Site 1 (HUB)'!L2</calculatedColumnFormula>
    </tableColumn>
    <tableColumn id="11" xr3:uid="{00000000-0010-0000-0600-00000B000000}" name="syslog_server_ip" dataDxfId="60">
      <calculatedColumnFormula>'Site 1 (HUB)'!M2</calculatedColumnFormula>
    </tableColumn>
    <tableColumn id="12" xr3:uid="{00000000-0010-0000-0600-00000C000000}" name="urpf_mode" dataDxfId="59"/>
    <tableColumn id="14" xr3:uid="{00000000-0010-0000-0600-00000E000000}" name="radius_server_ip" dataDxfId="58"/>
    <tableColumn id="15" xr3:uid="{00000000-0010-0000-0600-00000F000000}" name="radius_key" dataDxfId="57"/>
    <tableColumn id="13" xr3:uid="{00000000-0010-0000-0600-00000D000000}" name="tacacs_syntax" dataDxfId="56"/>
    <tableColumn id="16" xr3:uid="{00000000-0010-0000-0600-000010000000}" name="radius_syntax" dataDxfId="55"/>
    <tableColumn id="17" xr3:uid="{00000000-0010-0000-0600-000011000000}" name="dot1x_syntax" dataDxfId="54"/>
    <tableColumn id="18" xr3:uid="{00000000-0010-0000-0600-000012000000}" name="eigrp_syntax" dataDxfId="53"/>
    <tableColumn id="19" xr3:uid="{00000000-0010-0000-0600-000013000000}" name="vrf_syntax" dataDxfId="52"/>
    <tableColumn id="20" xr3:uid="{00000000-0010-0000-0600-000014000000}" name="ike_version" dataDxfId="51"/>
    <tableColumn id="21" xr3:uid="{00000000-0010-0000-0600-000015000000}" name="secret_type" dataDxfId="50"/>
    <tableColumn id="22" xr3:uid="{00000000-0010-0000-0600-000016000000}" name="trunk_encapsulation" dataDxfId="49"/>
    <tableColumn id="23" xr3:uid="{96BFD35F-5B86-4563-AD71-9BEE692F259E}" name="snmpv3_enabled" dataDxfId="48"/>
    <tableColumn id="24" xr3:uid="{B32071E9-38D7-497D-8D05-9C277245ED7D}" name="snmp_server_ip" dataDxfId="47"/>
    <tableColumn id="25" xr3:uid="{A51FD30E-2A50-4B3C-B10C-DC9965677024}" name="snmp_user" dataDxfId="46"/>
    <tableColumn id="26" xr3:uid="{E35869A0-05B2-4390-88E0-3DB67D32BD41}" name="snmp_auth_password" dataDxfId="45"/>
    <tableColumn id="27" xr3:uid="{962D48F4-6B6F-4976-A32F-AFCF203A4E6E}" name="snmp_priv_password" dataDxfId="44"/>
  </tableColumns>
  <tableStyleInfo name="TableStyleLight1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6:J20" dataDxfId="43">
  <tableColumns count="10">
    <tableColumn id="1" xr3:uid="{00000000-0010-0000-0700-000001000000}" name="tunnel id" dataDxfId="42"/>
    <tableColumn id="2" xr3:uid="{00000000-0010-0000-0700-000002000000}" name="vrf" dataDxfId="41"/>
    <tableColumn id="3" xr3:uid="{00000000-0010-0000-0700-000003000000}" name="ip address" dataDxfId="40">
      <calculatedColumnFormula>172&amp;"."&amp;16&amp;"."&amp;0&amp;"."&amp;(H17+$A$2)</calculatedColumnFormula>
    </tableColumn>
    <tableColumn id="4" xr3:uid="{00000000-0010-0000-0700-000004000000}" name="mask" dataDxfId="39"/>
    <tableColumn id="5" xr3:uid="{00000000-0010-0000-0700-000005000000}" name="source" dataDxfId="38">
      <calculatedColumnFormula>$C$2</calculatedColumnFormula>
    </tableColumn>
    <tableColumn id="6" xr3:uid="{00000000-0010-0000-0700-000006000000}" name="destination" dataDxfId="37"/>
    <tableColumn id="7" xr3:uid="{00000000-0010-0000-0700-000007000000}" name="gre mode" dataDxfId="36"/>
    <tableColumn id="8" xr3:uid="{00000000-0010-0000-0700-000008000000}" name="network-id" dataDxfId="35"/>
    <tableColumn id="9" xr3:uid="{00000000-0010-0000-0700-000009000000}" name="ipsec" dataDxfId="34"/>
    <tableColumn id="10" xr3:uid="{00000000-0010-0000-0700-00000A000000}" name="ipsec key" dataDxfId="33"/>
  </tableColumns>
  <tableStyleInfo name="TableStyleLight1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8000000}" name="Tabell13192530" displayName="Tabell13192530" ref="A22:H23" dataDxfId="32">
  <tableColumns count="8">
    <tableColumn id="1" xr3:uid="{00000000-0010-0000-0800-000001000000}" name="site" dataDxfId="31">
      <calculatedColumnFormula>A2</calculatedColumnFormula>
    </tableColumn>
    <tableColumn id="4" xr3:uid="{00000000-0010-0000-0800-000004000000}" name="brukernavn" dataDxfId="30"/>
    <tableColumn id="5" xr3:uid="{00000000-0010-0000-0800-000005000000}" name="passord" dataDxfId="29"/>
    <tableColumn id="3" xr3:uid="{00000000-0010-0000-0800-000003000000}" name="vty_lines" dataDxfId="28"/>
    <tableColumn id="2" xr3:uid="{00000000-0010-0000-0800-000002000000}" name="secret" dataDxfId="27"/>
    <tableColumn id="6" xr3:uid="{00000000-0010-0000-0800-000006000000}" name="etherchan_num" dataDxfId="26"/>
    <tableColumn id="7" xr3:uid="{00000000-0010-0000-0800-000007000000}" name="span_mode" dataDxfId="25"/>
    <tableColumn id="8" xr3:uid="{00000000-0010-0000-0800-000008000000}" name="dot1x_vlans" dataDxfId="24"/>
  </tableColumns>
  <tableStyleInfo name="TableStyleLight1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09000000}" name="Tabell161824282532" displayName="Tabell161824282532" ref="A25:Q27" totalsRowShown="0">
  <tableColumns count="17">
    <tableColumn id="1" xr3:uid="{00000000-0010-0000-0900-000001000000}" name="SW" dataDxfId="23">
      <calculatedColumnFormula>ROW()-25</calculatedColumnFormula>
    </tableColumn>
    <tableColumn id="2" xr3:uid="{00000000-0010-0000-0900-000002000000}" name="MGMT Vlan" dataDxfId="22"/>
    <tableColumn id="3" xr3:uid="{00000000-0010-0000-0900-000003000000}" name="MGMT ip" dataDxfId="21">
      <calculatedColumnFormula>LEFT($G$5,LEN($G$5)-1)&amp;(RIGHT($G$5,1)+A26)</calculatedColumnFormula>
    </tableColumn>
    <tableColumn id="4" xr3:uid="{00000000-0010-0000-0900-000004000000}" name="gateway" dataDxfId="20">
      <calculatedColumnFormula>$E$5</calculatedColumnFormula>
    </tableColumn>
    <tableColumn id="5" xr3:uid="{00000000-0010-0000-0900-000005000000}" name="mask" dataDxfId="19">
      <calculatedColumnFormula>$F$5</calculatedColumnFormula>
    </tableColumn>
    <tableColumn id="10" xr3:uid="{00000000-0010-0000-0900-00000A000000}" name="num_ports_tot" dataDxfId="18"/>
    <tableColumn id="11" xr3:uid="{00000000-0010-0000-0900-00000B000000}" name="skiped_ports" dataDxfId="17"/>
    <tableColumn id="6" xr3:uid="{00000000-0010-0000-0900-000006000000}" name="num_downlink" dataDxfId="16"/>
    <tableColumn id="7" xr3:uid="{00000000-0010-0000-0900-000007000000}" name="vlan-antall" dataDxfId="0"/>
    <tableColumn id="8" xr3:uid="{00000000-0010-0000-0900-000008000000}" name="intf_prefix" dataDxfId="15"/>
    <tableColumn id="9" xr3:uid="{00000000-0010-0000-0900-000009000000}" name="num_port_ledig" dataDxfId="14">
      <calculatedColumnFormula>IF($A26=1,F26-G26-H26*$F$23-2-IF(OR(UPPER($G$23)="SPAN",UPPER($G$23)="RSPAN"),1,0),F26-G26-(1+H26)*$F$23-1)</calculatedColumnFormula>
    </tableColumn>
    <tableColumn id="12" xr3:uid="{00000000-0010-0000-0900-00000C000000}" name="MONITORING ip"/>
    <tableColumn id="13" xr3:uid="{00000000-0010-0000-0900-00000D000000}" name="tacacs_syntax"/>
    <tableColumn id="14" xr3:uid="{00000000-0010-0000-0900-00000E000000}" name="radius_syntax"/>
    <tableColumn id="15" xr3:uid="{00000000-0010-0000-0900-00000F000000}" name="dot1x_syntax"/>
    <tableColumn id="16" xr3:uid="{00000000-0010-0000-0900-000010000000}" name="secret_type"/>
    <tableColumn id="17" xr3:uid="{00000000-0010-0000-0900-000011000000}" name="trunk_encapsulation"/>
  </tableColumns>
  <tableStyleInfo name="TableStyleLight1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A000000}" name="Tabell62" displayName="Tabell62" ref="A4:K8">
  <tableColumns count="11">
    <tableColumn id="1" xr3:uid="{00000000-0010-0000-0A00-000001000000}" name="vrf"/>
    <tableColumn id="2" xr3:uid="{00000000-0010-0000-0A00-000002000000}" name="vlan"/>
    <tableColumn id="3" xr3:uid="{00000000-0010-0000-0A00-000003000000}" name="interface"/>
    <tableColumn id="4" xr3:uid="{00000000-0010-0000-0A00-000004000000}" name="nett id">
      <calculatedColumnFormula>10&amp;"."&amp;(B5+$A$2)&amp;"."&amp;0&amp;"."&amp;0</calculatedColumnFormula>
    </tableColumn>
    <tableColumn id="5" xr3:uid="{00000000-0010-0000-0A00-000005000000}" name="gateway">
      <calculatedColumnFormula>LEFT(D5,LEN(D5)-1)&amp;"1"</calculatedColumnFormula>
    </tableColumn>
    <tableColumn id="6" xr3:uid="{00000000-0010-0000-0A00-000006000000}" name="mask"/>
    <tableColumn id="7" xr3:uid="{00000000-0010-0000-0A00-000007000000}" name="address min">
      <calculatedColumnFormula>LEFT(D5,LEN(D5)-1)&amp;"1"</calculatedColumnFormula>
    </tableColumn>
    <tableColumn id="8" xr3:uid="{00000000-0010-0000-0A00-000008000000}" name="address max"/>
    <tableColumn id="9" xr3:uid="{00000000-0010-0000-0A00-000009000000}" name="antall-res" dataDxfId="13"/>
    <tableColumn id="10" xr3:uid="{00000000-0010-0000-0A00-00000A000000}" name="pri-afxx"/>
    <tableColumn id="11" xr3:uid="{00000000-0010-0000-0A00-00000B000000}" name="pri-1-10"/>
  </tableColumns>
  <tableStyleInfo name="TableStyleLight1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B000000}" name="Tabell77" displayName="Tabell77" ref="A10:C14">
  <tableColumns count="3">
    <tableColumn id="1" xr3:uid="{00000000-0010-0000-0B00-000001000000}" name="vrf"/>
    <tableColumn id="3" xr3:uid="{00000000-0010-0000-0B00-000003000000}" name="loopback"/>
    <tableColumn id="4" xr3:uid="{00000000-0010-0000-0B00-000004000000}" name="laddr">
      <calculatedColumnFormula>$A$2&amp;"."&amp;$A$2&amp;"."&amp;$A$2&amp;"."&amp;(B11)</calculatedColumnFormula>
    </tableColumn>
  </tableColumns>
  <tableStyleInfo name="TableStyleLight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0C000000}" name="FlowPolicyTable" displayName="FlowPolicyTable" ref="A1:E13" totalsRowShown="0">
  <tableColumns count="5">
    <tableColumn id="1" xr3:uid="{00000000-0010-0000-0C00-000001000000}" name="source"/>
    <tableColumn id="2" xr3:uid="{00000000-0010-0000-0C00-000002000000}" name="destination"/>
    <tableColumn id="3" xr3:uid="{00000000-0010-0000-0C00-000003000000}" name="protocol"/>
    <tableColumn id="4" xr3:uid="{00000000-0010-0000-0C00-000004000000}" name="destination_port"/>
    <tableColumn id="5" xr3:uid="{00000000-0010-0000-0C00-000005000000}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01"/>
  <sheetViews>
    <sheetView tabSelected="1" topLeftCell="K1" zoomScale="58" workbookViewId="0">
      <selection activeCell="X24" sqref="X24"/>
    </sheetView>
  </sheetViews>
  <sheetFormatPr defaultColWidth="12.5546875" defaultRowHeight="13.2" x14ac:dyDescent="0.25"/>
  <cols>
    <col min="1" max="1" width="16.33203125" customWidth="1"/>
    <col min="2" max="2" width="15.33203125" customWidth="1"/>
    <col min="3" max="3" width="66" customWidth="1"/>
    <col min="4" max="4" width="12.33203125" customWidth="1"/>
    <col min="5" max="5" width="66" customWidth="1"/>
    <col min="6" max="6" width="15.88671875" customWidth="1"/>
    <col min="7" max="7" width="66" customWidth="1"/>
    <col min="8" max="8" width="22" customWidth="1"/>
    <col min="9" max="9" width="25.5546875" customWidth="1"/>
    <col min="10" max="10" width="13.88671875" bestFit="1" customWidth="1"/>
    <col min="11" max="11" width="20.44140625" bestFit="1" customWidth="1"/>
    <col min="12" max="24" width="18" customWidth="1"/>
    <col min="26" max="26" width="16.44140625" bestFit="1" customWidth="1"/>
    <col min="27" max="27" width="15.33203125" bestFit="1" customWidth="1"/>
    <col min="28" max="28" width="10.6640625" bestFit="1" customWidth="1"/>
    <col min="29" max="29" width="20.6640625" bestFit="1" customWidth="1"/>
    <col min="30" max="30" width="20.109375" bestFit="1" customWidth="1"/>
  </cols>
  <sheetData>
    <row r="1" spans="1:30" ht="27.9" customHeight="1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1" t="s">
        <v>7</v>
      </c>
      <c r="I1" s="23" t="s">
        <v>8</v>
      </c>
      <c r="J1" s="23" t="s">
        <v>9</v>
      </c>
      <c r="K1" s="23" t="s">
        <v>10</v>
      </c>
      <c r="L1" s="21" t="s">
        <v>11</v>
      </c>
      <c r="M1" s="21" t="s">
        <v>12</v>
      </c>
      <c r="N1" s="22" t="s">
        <v>13</v>
      </c>
      <c r="O1" s="21" t="s">
        <v>14</v>
      </c>
      <c r="P1" s="21" t="s">
        <v>15</v>
      </c>
      <c r="Q1" s="21" t="s">
        <v>16</v>
      </c>
      <c r="R1" s="32" t="s">
        <v>17</v>
      </c>
      <c r="S1" s="32" t="s">
        <v>18</v>
      </c>
      <c r="T1" s="32" t="s">
        <v>19</v>
      </c>
      <c r="U1" s="32" t="s">
        <v>20</v>
      </c>
      <c r="V1" s="32" t="s">
        <v>21</v>
      </c>
      <c r="W1" s="32" t="s">
        <v>22</v>
      </c>
      <c r="X1" s="32" t="s">
        <v>23</v>
      </c>
      <c r="Y1" s="32" t="s">
        <v>24</v>
      </c>
      <c r="Z1" s="36" t="s">
        <v>116</v>
      </c>
      <c r="AA1" s="36" t="s">
        <v>117</v>
      </c>
      <c r="AB1" s="36" t="s">
        <v>118</v>
      </c>
      <c r="AC1" s="36" t="s">
        <v>119</v>
      </c>
      <c r="AD1" s="36" t="s">
        <v>120</v>
      </c>
    </row>
    <row r="2" spans="1:30" ht="15.75" customHeight="1" x14ac:dyDescent="0.25">
      <c r="A2" s="2">
        <v>1</v>
      </c>
      <c r="B2" s="2" t="s">
        <v>25</v>
      </c>
      <c r="C2" s="2" t="str">
        <f>A2&amp;"."&amp;A2&amp;"."&amp;A2&amp;".0"</f>
        <v>1.1.1.0</v>
      </c>
      <c r="D2" s="2" t="s">
        <v>26</v>
      </c>
      <c r="E2" s="2" t="s">
        <v>27</v>
      </c>
      <c r="F2" s="2" t="s">
        <v>127</v>
      </c>
      <c r="G2" s="2" t="s">
        <v>27</v>
      </c>
      <c r="H2" s="35">
        <v>200</v>
      </c>
      <c r="I2" s="2" t="s">
        <v>28</v>
      </c>
      <c r="J2" s="28" t="b">
        <v>1</v>
      </c>
      <c r="K2" s="2" t="s">
        <v>125</v>
      </c>
      <c r="L2" s="19" t="s">
        <v>30</v>
      </c>
      <c r="M2" s="19" t="s">
        <v>30</v>
      </c>
      <c r="N2" s="19" t="s">
        <v>31</v>
      </c>
      <c r="O2" s="19" t="s">
        <v>30</v>
      </c>
      <c r="P2" s="19" t="s">
        <v>32</v>
      </c>
      <c r="Q2" s="19">
        <v>3</v>
      </c>
      <c r="R2" s="2" t="s">
        <v>33</v>
      </c>
      <c r="S2" s="2" t="s">
        <v>33</v>
      </c>
      <c r="T2" s="2" t="s">
        <v>34</v>
      </c>
      <c r="U2" s="2" t="s">
        <v>35</v>
      </c>
      <c r="V2" s="2" t="s">
        <v>36</v>
      </c>
      <c r="W2" s="2" t="s">
        <v>37</v>
      </c>
      <c r="X2" s="2" t="s">
        <v>38</v>
      </c>
      <c r="Y2" s="2" t="s">
        <v>38</v>
      </c>
      <c r="Z2" s="37" t="b">
        <v>1</v>
      </c>
      <c r="AA2" s="38" t="s">
        <v>30</v>
      </c>
      <c r="AB2" s="38" t="s">
        <v>121</v>
      </c>
      <c r="AC2" s="38" t="s">
        <v>122</v>
      </c>
      <c r="AD2" s="38" t="s">
        <v>123</v>
      </c>
    </row>
    <row r="3" spans="1:30" ht="15.75" customHeight="1" x14ac:dyDescent="0.25">
      <c r="A3" s="4"/>
      <c r="B3" s="5"/>
      <c r="C3" s="4"/>
      <c r="D3" s="4"/>
      <c r="E3" s="4"/>
      <c r="F3" s="4"/>
      <c r="G3" s="4"/>
      <c r="H3" s="4"/>
      <c r="J3" s="25"/>
      <c r="K3" s="25"/>
    </row>
    <row r="4" spans="1:30" ht="15.75" customHeight="1" x14ac:dyDescent="0.25">
      <c r="A4" s="6" t="s">
        <v>39</v>
      </c>
      <c r="B4" s="6" t="s">
        <v>40</v>
      </c>
      <c r="C4" s="6" t="s">
        <v>41</v>
      </c>
      <c r="D4" s="6" t="s">
        <v>42</v>
      </c>
      <c r="E4" s="6" t="s">
        <v>43</v>
      </c>
      <c r="F4" s="6" t="s">
        <v>44</v>
      </c>
      <c r="G4" s="6" t="s">
        <v>45</v>
      </c>
      <c r="H4" s="6" t="s">
        <v>46</v>
      </c>
      <c r="I4" s="6" t="s">
        <v>47</v>
      </c>
      <c r="J4" s="27" t="s">
        <v>48</v>
      </c>
      <c r="K4" s="27" t="s">
        <v>49</v>
      </c>
    </row>
    <row r="5" spans="1:30" ht="15.75" customHeight="1" x14ac:dyDescent="0.25">
      <c r="A5" s="7" t="s">
        <v>50</v>
      </c>
      <c r="B5" s="8">
        <v>10</v>
      </c>
      <c r="C5" s="7">
        <v>0</v>
      </c>
      <c r="D5" s="7" t="str">
        <f>10&amp;"."&amp;$A$2&amp;"."&amp;B5&amp;".0"</f>
        <v>10.1.10.0</v>
      </c>
      <c r="E5" s="7" t="str">
        <f>10&amp;"."&amp;$A$2&amp;"."&amp;B5&amp;".1"</f>
        <v>10.1.10.1</v>
      </c>
      <c r="F5" s="7" t="s">
        <v>51</v>
      </c>
      <c r="G5" s="7" t="str" cm="1">
        <f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f>
        <v>10.1.10.1</v>
      </c>
      <c r="H5" s="7" t="str" cm="1">
        <f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f>
        <v>10.1.10.254</v>
      </c>
      <c r="I5" s="7">
        <v>40</v>
      </c>
      <c r="J5" s="9">
        <v>21</v>
      </c>
      <c r="K5" s="9">
        <v>5</v>
      </c>
    </row>
    <row r="6" spans="1:30" ht="15.75" customHeight="1" x14ac:dyDescent="0.25">
      <c r="A6" s="7" t="s">
        <v>52</v>
      </c>
      <c r="B6" s="8">
        <v>20</v>
      </c>
      <c r="C6" s="7">
        <v>0</v>
      </c>
      <c r="D6" s="7" t="str">
        <f>10&amp;"."&amp;$A$2&amp;"."&amp;B6&amp;".0"</f>
        <v>10.1.20.0</v>
      </c>
      <c r="E6" s="7" t="str">
        <f t="shared" ref="E6:E7" si="0">10&amp;"."&amp;$A$2&amp;"."&amp;B6&amp;".1"</f>
        <v>10.1.20.1</v>
      </c>
      <c r="F6" s="7" t="s">
        <v>51</v>
      </c>
      <c r="G6" s="7" t="str">
        <f t="shared" ref="G6:G7" si="1">VALUE(LEFT(D6,FIND(".",D6)-1))&amp;"."&amp;VALUE(MID(D6,FIND(".",D6)+1,FIND(".",D6,FIND(".",D6)+1)-FIND(".",D6)-1))&amp;"."&amp;VALUE(MID(D6,FIND(".",D6,FIND(".",D6)+1)+1,FIND(".",D6,FIND(".",D6,FIND(".",D6)+1)+1)-FIND(".",D6,FIND(".",D6)+1)-1))&amp;"."&amp;(VALUE(RIGHT(D6,LEN(D6)-FIND(".",D6,FIND(".",D6,FIND(".",D6)+1)+1)))+1)</f>
        <v>10.1.20.1</v>
      </c>
      <c r="H6" s="7" t="str" cm="1">
        <f>(VALUE(LEFT(D6,FIND(".",D6)-1))+255-VALUE(LEFT(F6,FIND(".",F6)-1)))&amp;"."&amp;(VALUE(MID(D6,FIND(".",D6)+1,FIND(".",D6,FIND(".",D6)+1)-FIND(".",D6)-1))+255-VALUE(MID(F6,FIND(".",F6)+1,FIND(".",F6,FIND(".",F6)+1)-FIND(".",F6)-1)))&amp;"."&amp;(VALUE(MID(D6,FIND(".",D6,FIND(".",D6)+1)+1,FIND(".",D6,FIND(".",D6,FIND(".",D6)+1)+1)-FIND(".",D6,FIND(".",D6)+1)-1))+255-VALUE(MID(F6,FIND(".",F6,FIND(".",F6)+1)+1,FIND(".",F6,FIND(".",F6,FIND(".",F6)+1)+1)-FIND(".",F6,FIND(".",F6)+1)-1)))&amp;"."&amp;(VALUE(RIGHT(D6,LEN(D6)-FIND(".",D6,FIND(".",D6,FIND(".",D6)+1)+1)))+255-VALUE(RIGHT(F6,LEN(F6)-FIND(".",F6,FIND(".",F6,FIND(".",F6)+1)+1)))-1)</f>
        <v>10.1.20.254</v>
      </c>
      <c r="I6" s="7">
        <v>40</v>
      </c>
      <c r="J6" s="9">
        <v>11</v>
      </c>
      <c r="K6" s="9">
        <v>2</v>
      </c>
    </row>
    <row r="7" spans="1:30" ht="15.75" customHeight="1" x14ac:dyDescent="0.25">
      <c r="A7" s="7" t="s">
        <v>53</v>
      </c>
      <c r="B7" s="8">
        <v>30</v>
      </c>
      <c r="C7" s="7">
        <v>0</v>
      </c>
      <c r="D7" s="7" t="str">
        <f>10&amp;"."&amp;$A$2&amp;"."&amp;B7&amp;".0"</f>
        <v>10.1.30.0</v>
      </c>
      <c r="E7" s="7" t="str">
        <f t="shared" si="0"/>
        <v>10.1.30.1</v>
      </c>
      <c r="F7" s="7" t="s">
        <v>51</v>
      </c>
      <c r="G7" s="7" t="str">
        <f t="shared" si="1"/>
        <v>10.1.30.1</v>
      </c>
      <c r="H7" s="7" t="str" cm="1">
        <f>(VALUE(LEFT(D7,FIND(".",D7)-1))+255-VALUE(LEFT(F7,FIND(".",F7)-1)))&amp;"."&amp;(VALUE(MID(D7,FIND(".",D7)+1,FIND(".",D7,FIND(".",D7)+1)-FIND(".",D7)-1))+255-VALUE(MID(F7,FIND(".",F7)+1,FIND(".",F7,FIND(".",F7)+1)-FIND(".",F7)-1)))&amp;"."&amp;(VALUE(MID(D7,FIND(".",D7,FIND(".",D7)+1)+1,FIND(".",D7,FIND(".",D7,FIND(".",D7)+1)+1)-FIND(".",D7,FIND(".",D7)+1)-1))+255-VALUE(MID(F7,FIND(".",F7,FIND(".",F7)+1)+1,FIND(".",F7,FIND(".",F7,FIND(".",F7)+1)+1)-FIND(".",F7,FIND(".",F7)+1)-1)))&amp;"."&amp;(VALUE(RIGHT(D7,LEN(D7)-FIND(".",D7,FIND(".",D7,FIND(".",D7)+1)+1)))+255-VALUE(RIGHT(F7,LEN(F7)-FIND(".",F7,FIND(".",F7,FIND(".",F7)+1)+1)))-1)</f>
        <v>10.1.30.254</v>
      </c>
      <c r="I7" s="7">
        <v>40</v>
      </c>
      <c r="J7">
        <v>42</v>
      </c>
      <c r="K7">
        <v>7</v>
      </c>
    </row>
    <row r="8" spans="1:30" ht="15.75" customHeight="1" x14ac:dyDescent="0.25">
      <c r="A8" s="7" t="s">
        <v>54</v>
      </c>
      <c r="B8" s="8">
        <v>40</v>
      </c>
      <c r="C8" s="7">
        <v>0</v>
      </c>
      <c r="D8" s="7" t="str">
        <f>10&amp;"."&amp;$A$2&amp;"."&amp;B8&amp;".0"</f>
        <v>10.1.40.0</v>
      </c>
      <c r="E8" s="7" t="str">
        <f t="shared" ref="E8" si="2">10&amp;"."&amp;$A$2&amp;"."&amp;B8&amp;".1"</f>
        <v>10.1.40.1</v>
      </c>
      <c r="F8" s="7" t="s">
        <v>51</v>
      </c>
      <c r="G8" s="7" t="str">
        <f t="shared" ref="G8" si="3">VALUE(LEFT(D8,FIND(".",D8)-1))&amp;"."&amp;VALUE(MID(D8,FIND(".",D8)+1,FIND(".",D8,FIND(".",D8)+1)-FIND(".",D8)-1))&amp;"."&amp;VALUE(MID(D8,FIND(".",D8,FIND(".",D8)+1)+1,FIND(".",D8,FIND(".",D8,FIND(".",D8)+1)+1)-FIND(".",D8,FIND(".",D8)+1)-1))&amp;"."&amp;(VALUE(RIGHT(D8,LEN(D8)-FIND(".",D8,FIND(".",D8,FIND(".",D8)+1)+1)))+1)</f>
        <v>10.1.40.1</v>
      </c>
      <c r="H8" s="7" t="str">
        <f>(VALUE(LEFT(D8,FIND(".",D8)-1))+255-VALUE(LEFT(F8,FIND(".",F8)-1)))&amp;"."&amp;(VALUE(MID(D8,FIND(".",D8)+1,FIND(".",D8,FIND(".",D8)+1)-FIND(".",D8)-1))+255-VALUE(MID(F8,FIND(".",F8)+1,FIND(".",F8,FIND(".",F8)+1)-FIND(".",F8)-1)))&amp;"."&amp;(VALUE(MID(D8,FIND(".",D8,FIND(".",D8)+1)+1,FIND(".",D8,FIND(".",D8,FIND(".",D8)+1)+1)-FIND(".",D8,FIND(".",D8)+1)-1))+255-VALUE(MID(F8,FIND(".",F8,FIND(".",F8)+1)+1,FIND(".",F8,FIND(".",F8,FIND(".",F8)+1)+1)-FIND(".",F8,FIND(".",F8)+1)-1)))&amp;"."&amp;(VALUE(RIGHT(D8,LEN(D8)-FIND(".",D8,FIND(".",D8,FIND(".",D8)+1)+1)))+255-VALUE(RIGHT(F8,LEN(F8)-FIND(".",F8,FIND(".",F8,FIND(".",F8)+1)+1)))-1)</f>
        <v>10.1.40.254</v>
      </c>
      <c r="I8" s="7">
        <v>40</v>
      </c>
      <c r="J8">
        <v>41</v>
      </c>
      <c r="K8">
        <v>10</v>
      </c>
    </row>
    <row r="9" spans="1:30" ht="15.75" customHeight="1" x14ac:dyDescent="0.25">
      <c r="A9" s="3"/>
      <c r="B9" s="3"/>
    </row>
    <row r="10" spans="1:30" ht="15.75" customHeight="1" x14ac:dyDescent="0.25">
      <c r="A10" s="6" t="s">
        <v>39</v>
      </c>
      <c r="B10" s="6" t="s">
        <v>56</v>
      </c>
      <c r="C10" s="6" t="s">
        <v>57</v>
      </c>
    </row>
    <row r="11" spans="1:30" ht="15.75" customHeight="1" x14ac:dyDescent="0.25">
      <c r="A11" s="7" t="s">
        <v>50</v>
      </c>
      <c r="B11" s="7">
        <v>10</v>
      </c>
      <c r="C11" s="7" t="str">
        <f>$A$2&amp;"."&amp;$A$2&amp;"."&amp;$A$2&amp;"."&amp;B11</f>
        <v>1.1.1.10</v>
      </c>
    </row>
    <row r="12" spans="1:30" ht="15.75" customHeight="1" x14ac:dyDescent="0.25">
      <c r="A12" s="7" t="s">
        <v>52</v>
      </c>
      <c r="B12" s="7">
        <v>20</v>
      </c>
      <c r="C12" s="7" t="str">
        <f t="shared" ref="C12:C14" si="4">$A$2&amp;"."&amp;$A$2&amp;"."&amp;$A$2&amp;"."&amp;B12</f>
        <v>1.1.1.20</v>
      </c>
    </row>
    <row r="13" spans="1:30" ht="15.75" customHeight="1" x14ac:dyDescent="0.25">
      <c r="A13" s="7" t="s">
        <v>53</v>
      </c>
      <c r="B13" s="7">
        <v>30</v>
      </c>
      <c r="C13" s="7" t="str">
        <f t="shared" si="4"/>
        <v>1.1.1.30</v>
      </c>
    </row>
    <row r="14" spans="1:30" ht="15.75" customHeight="1" x14ac:dyDescent="0.25">
      <c r="A14" s="7" t="s">
        <v>54</v>
      </c>
      <c r="B14" s="7">
        <v>40</v>
      </c>
      <c r="C14" s="7" t="str">
        <f t="shared" si="4"/>
        <v>1.1.1.40</v>
      </c>
    </row>
    <row r="15" spans="1:30" ht="15.75" customHeight="1" x14ac:dyDescent="0.25"/>
    <row r="16" spans="1:30" ht="15.75" customHeight="1" x14ac:dyDescent="0.25">
      <c r="A16" s="6" t="s">
        <v>58</v>
      </c>
      <c r="B16" s="6" t="s">
        <v>39</v>
      </c>
      <c r="C16" s="6" t="s">
        <v>59</v>
      </c>
      <c r="D16" s="6" t="s">
        <v>44</v>
      </c>
      <c r="E16" s="6" t="s">
        <v>60</v>
      </c>
      <c r="F16" s="6" t="s">
        <v>61</v>
      </c>
      <c r="G16" s="6" t="s">
        <v>62</v>
      </c>
      <c r="H16" s="1" t="s">
        <v>63</v>
      </c>
      <c r="I16" s="1" t="s">
        <v>64</v>
      </c>
      <c r="J16" s="1" t="s">
        <v>65</v>
      </c>
    </row>
    <row r="17" spans="1:17" ht="15.75" customHeight="1" x14ac:dyDescent="0.25">
      <c r="A17" s="7" t="s">
        <v>66</v>
      </c>
      <c r="B17" s="7" t="s">
        <v>50</v>
      </c>
      <c r="C17" s="7" t="str">
        <f>172&amp;"."&amp;16&amp;"."&amp;H17&amp;"."&amp;$A$2</f>
        <v>172.16.10.1</v>
      </c>
      <c r="D17" s="7" t="s">
        <v>51</v>
      </c>
      <c r="E17" s="7" t="str">
        <f>$C$2</f>
        <v>1.1.1.0</v>
      </c>
      <c r="F17" s="7"/>
      <c r="G17" s="7" t="s">
        <v>67</v>
      </c>
      <c r="H17" s="2">
        <v>10</v>
      </c>
      <c r="I17" s="28" t="b">
        <v>1</v>
      </c>
      <c r="J17" s="2"/>
    </row>
    <row r="18" spans="1:17" ht="15.75" customHeight="1" x14ac:dyDescent="0.25">
      <c r="A18" s="7" t="s">
        <v>68</v>
      </c>
      <c r="B18" s="7" t="s">
        <v>52</v>
      </c>
      <c r="C18" s="7" t="str">
        <f>172&amp;"."&amp;16&amp;"."&amp;H18&amp;"."&amp;$A$2</f>
        <v>172.16.20.1</v>
      </c>
      <c r="D18" s="7" t="s">
        <v>51</v>
      </c>
      <c r="E18" s="7" t="str">
        <f>$C$2</f>
        <v>1.1.1.0</v>
      </c>
      <c r="F18" s="7"/>
      <c r="G18" s="7" t="s">
        <v>67</v>
      </c>
      <c r="H18" s="2">
        <v>20</v>
      </c>
      <c r="I18" s="28" t="b">
        <v>0</v>
      </c>
      <c r="J18" s="2"/>
    </row>
    <row r="19" spans="1:17" ht="15.75" customHeight="1" x14ac:dyDescent="0.25">
      <c r="A19" s="7" t="s">
        <v>69</v>
      </c>
      <c r="B19" s="7" t="s">
        <v>53</v>
      </c>
      <c r="C19" s="7" t="str">
        <f>172&amp;"."&amp;16&amp;"."&amp;H19&amp;"."&amp;$A$2</f>
        <v>172.16.30.1</v>
      </c>
      <c r="D19" s="7" t="s">
        <v>51</v>
      </c>
      <c r="E19" s="7" t="str">
        <f>$C$2</f>
        <v>1.1.1.0</v>
      </c>
      <c r="F19" s="7"/>
      <c r="G19" s="7" t="s">
        <v>67</v>
      </c>
      <c r="H19" s="2">
        <v>30</v>
      </c>
      <c r="I19" s="28" t="b">
        <v>1</v>
      </c>
      <c r="J19" s="2"/>
    </row>
    <row r="20" spans="1:17" ht="15.75" customHeight="1" x14ac:dyDescent="0.25">
      <c r="A20" s="7" t="s">
        <v>70</v>
      </c>
      <c r="B20" s="7" t="s">
        <v>54</v>
      </c>
      <c r="C20" s="7" t="str">
        <f>172&amp;"."&amp;16&amp;"."&amp;H20&amp;"."&amp;$A$2</f>
        <v>172.16.40.1</v>
      </c>
      <c r="D20" s="7" t="s">
        <v>51</v>
      </c>
      <c r="E20" s="7" t="str">
        <f>$C$2</f>
        <v>1.1.1.0</v>
      </c>
      <c r="F20" s="7"/>
      <c r="G20" s="7" t="s">
        <v>67</v>
      </c>
      <c r="H20" s="2">
        <v>40</v>
      </c>
      <c r="I20" s="28" t="b">
        <v>1</v>
      </c>
      <c r="J20" s="2"/>
    </row>
    <row r="21" spans="1:17" ht="15.75" customHeight="1" x14ac:dyDescent="0.25">
      <c r="A21" s="11"/>
      <c r="B21" s="11"/>
      <c r="C21" s="11"/>
      <c r="D21" s="11"/>
      <c r="E21" s="11"/>
      <c r="F21" s="11"/>
      <c r="G21" s="11"/>
    </row>
    <row r="22" spans="1:17" ht="15.75" customHeight="1" x14ac:dyDescent="0.25">
      <c r="A22" s="1" t="s">
        <v>0</v>
      </c>
      <c r="B22" s="1" t="s">
        <v>3</v>
      </c>
      <c r="C22" s="1" t="s">
        <v>4</v>
      </c>
      <c r="D22" s="1" t="s">
        <v>5</v>
      </c>
      <c r="E22" s="1" t="s">
        <v>6</v>
      </c>
      <c r="F22" s="1" t="s">
        <v>71</v>
      </c>
      <c r="G22" s="1" t="s">
        <v>72</v>
      </c>
      <c r="H22" s="1" t="s">
        <v>73</v>
      </c>
      <c r="I22" s="1" t="s">
        <v>7</v>
      </c>
    </row>
    <row r="23" spans="1:17" ht="28.65" customHeight="1" x14ac:dyDescent="0.25">
      <c r="A23" s="2">
        <f>$A$2</f>
        <v>1</v>
      </c>
      <c r="B23" s="2" t="str">
        <f>$D$2</f>
        <v>admin</v>
      </c>
      <c r="C23" s="2" t="str">
        <f>$E$2</f>
        <v>$9$0nNdTjfcaOQFlP$4VgON16XmZXlfGr4BcOzEN7OoRxfPIAcXDQ0afwx67k</v>
      </c>
      <c r="D23" s="2" t="str">
        <f>$F$2</f>
        <v>0 - 15</v>
      </c>
      <c r="E23" s="2" t="str">
        <f>$G$2</f>
        <v>$9$0nNdTjfcaOQFlP$4VgON16XmZXlfGr4BcOzEN7OoRxfPIAcXDQ0afwx67k</v>
      </c>
      <c r="F23" s="2">
        <v>2</v>
      </c>
      <c r="G23" s="2" t="s">
        <v>126</v>
      </c>
      <c r="H23" s="44" t="s">
        <v>129</v>
      </c>
      <c r="I23" s="35" cm="1">
        <f t="array" ref="I23">Tabell5[ISP-VLAN]</f>
        <v>200</v>
      </c>
    </row>
    <row r="24" spans="1:17" ht="15.75" customHeight="1" x14ac:dyDescent="0.25"/>
    <row r="25" spans="1:17" ht="27.9" customHeight="1" x14ac:dyDescent="0.25">
      <c r="A25" s="13" t="s">
        <v>75</v>
      </c>
      <c r="B25" s="13" t="s">
        <v>76</v>
      </c>
      <c r="C25" s="13" t="s">
        <v>77</v>
      </c>
      <c r="D25" s="13" t="s">
        <v>43</v>
      </c>
      <c r="E25" s="13" t="s">
        <v>44</v>
      </c>
      <c r="F25" s="13" t="s">
        <v>78</v>
      </c>
      <c r="G25" s="13" t="s">
        <v>79</v>
      </c>
      <c r="H25" s="13" t="s">
        <v>80</v>
      </c>
      <c r="I25" s="13" t="s">
        <v>81</v>
      </c>
      <c r="J25" s="13" t="s">
        <v>1</v>
      </c>
      <c r="K25" s="13" t="s">
        <v>82</v>
      </c>
      <c r="L25" s="25" t="s">
        <v>83</v>
      </c>
      <c r="M25" s="1" t="s">
        <v>17</v>
      </c>
      <c r="N25" s="1" t="s">
        <v>18</v>
      </c>
      <c r="O25" s="1" t="s">
        <v>19</v>
      </c>
      <c r="P25" s="1" t="s">
        <v>23</v>
      </c>
      <c r="Q25" s="1" t="s">
        <v>24</v>
      </c>
    </row>
    <row r="26" spans="1:17" ht="45" customHeight="1" x14ac:dyDescent="0.25">
      <c r="A26" s="7">
        <f>ROW()-25</f>
        <v>1</v>
      </c>
      <c r="B26" s="7">
        <f>$B$5</f>
        <v>10</v>
      </c>
      <c r="C26" s="7" t="str">
        <f>10&amp;"."&amp;$A$2&amp;"."&amp;$B$5&amp;"."&amp;(A26+1)</f>
        <v>10.1.10.2</v>
      </c>
      <c r="D26" s="7" t="str">
        <f>$E$5</f>
        <v>10.1.10.1</v>
      </c>
      <c r="E26" s="7" t="str">
        <f>$F$5</f>
        <v>255.255.255.0</v>
      </c>
      <c r="F26" s="7">
        <v>25</v>
      </c>
      <c r="G26" s="7">
        <v>1</v>
      </c>
      <c r="H26" s="10">
        <v>0</v>
      </c>
      <c r="I26" s="7" t="s">
        <v>124</v>
      </c>
      <c r="J26" s="2"/>
      <c r="K26" s="2">
        <f>IF($A26=1,F26-G26-H26*$F$23-2-IF($L$2&lt;&gt;$M$2,1,0)-IF(OR(UPPER($G$23)="SPAN",UPPER($G$23)="ERSPAN",UPPER($G$23)="RSPAN"),1,0),F26-G26-(1+H26)*$F$23-1)</f>
        <v>21</v>
      </c>
      <c r="M26" s="31"/>
      <c r="N26" s="31"/>
      <c r="O26" s="31"/>
      <c r="P26" s="31"/>
      <c r="Q26" s="31"/>
    </row>
    <row r="27" spans="1:17" ht="15.75" customHeight="1" x14ac:dyDescent="0.25">
      <c r="M27" s="31"/>
      <c r="N27" s="31"/>
      <c r="O27" s="31"/>
      <c r="P27" s="31"/>
      <c r="Q27" s="31"/>
    </row>
    <row r="28" spans="1:17" ht="15.75" customHeight="1" x14ac:dyDescent="0.25">
      <c r="M28" s="31"/>
      <c r="N28" s="31"/>
      <c r="O28" s="31"/>
      <c r="P28" s="31"/>
      <c r="Q28" s="31"/>
    </row>
    <row r="29" spans="1:17" ht="15.75" customHeight="1" x14ac:dyDescent="0.25">
      <c r="M29" s="31"/>
      <c r="N29" s="31"/>
      <c r="O29" s="31"/>
      <c r="P29" s="31"/>
      <c r="Q29" s="31"/>
    </row>
    <row r="30" spans="1:17" ht="15.75" customHeight="1" x14ac:dyDescent="0.25">
      <c r="M30" s="31"/>
      <c r="N30" s="31"/>
      <c r="O30" s="31"/>
      <c r="P30" s="31"/>
      <c r="Q30" s="31"/>
    </row>
    <row r="31" spans="1:17" ht="15.75" customHeight="1" x14ac:dyDescent="0.25">
      <c r="M31" s="31"/>
      <c r="N31" s="31"/>
      <c r="O31" s="31"/>
      <c r="P31" s="31"/>
      <c r="Q31" s="31"/>
    </row>
    <row r="32" spans="1:17" ht="15.75" customHeight="1" x14ac:dyDescent="0.25">
      <c r="M32" s="31"/>
      <c r="N32" s="31"/>
      <c r="O32" s="31"/>
      <c r="P32" s="31"/>
      <c r="Q32" s="31"/>
    </row>
    <row r="33" spans="13:17" ht="15.75" customHeight="1" x14ac:dyDescent="0.25">
      <c r="M33" s="31"/>
      <c r="N33" s="31"/>
      <c r="O33" s="31"/>
      <c r="P33" s="31"/>
      <c r="Q33" s="31"/>
    </row>
    <row r="34" spans="13:17" ht="15.75" customHeight="1" x14ac:dyDescent="0.25">
      <c r="M34" s="31"/>
      <c r="N34" s="31"/>
      <c r="O34" s="31"/>
      <c r="P34" s="31"/>
      <c r="Q34" s="31"/>
    </row>
    <row r="35" spans="13:17" ht="15.75" customHeight="1" x14ac:dyDescent="0.25">
      <c r="M35" s="31"/>
      <c r="N35" s="31"/>
      <c r="O35" s="31"/>
      <c r="P35" s="31"/>
      <c r="Q35" s="31"/>
    </row>
    <row r="36" spans="13:17" ht="15.75" customHeight="1" x14ac:dyDescent="0.25">
      <c r="M36" s="31"/>
      <c r="N36" s="31"/>
      <c r="O36" s="31"/>
      <c r="P36" s="31"/>
      <c r="Q36" s="31"/>
    </row>
    <row r="37" spans="13:17" ht="15.75" customHeight="1" x14ac:dyDescent="0.25">
      <c r="M37" s="31"/>
      <c r="N37" s="31"/>
      <c r="O37" s="31"/>
      <c r="P37" s="31"/>
      <c r="Q37" s="31"/>
    </row>
    <row r="38" spans="13:17" ht="15.75" customHeight="1" x14ac:dyDescent="0.25">
      <c r="M38" s="31"/>
      <c r="N38" s="31"/>
      <c r="O38" s="31"/>
      <c r="P38" s="31"/>
      <c r="Q38" s="31"/>
    </row>
    <row r="39" spans="13:17" ht="15.75" customHeight="1" x14ac:dyDescent="0.25">
      <c r="M39" s="31"/>
      <c r="N39" s="31"/>
      <c r="O39" s="31"/>
      <c r="P39" s="31"/>
      <c r="Q39" s="31"/>
    </row>
    <row r="40" spans="13:17" ht="15.75" customHeight="1" x14ac:dyDescent="0.25">
      <c r="M40" s="31"/>
      <c r="N40" s="31"/>
      <c r="O40" s="31"/>
      <c r="P40" s="31"/>
      <c r="Q40" s="31"/>
    </row>
    <row r="41" spans="13:17" ht="15.75" customHeight="1" x14ac:dyDescent="0.25">
      <c r="M41" s="31"/>
      <c r="N41" s="31"/>
      <c r="O41" s="31"/>
      <c r="P41" s="31"/>
      <c r="Q41" s="31"/>
    </row>
    <row r="42" spans="13:17" ht="15.75" customHeight="1" x14ac:dyDescent="0.25">
      <c r="M42" s="31"/>
      <c r="N42" s="31"/>
      <c r="O42" s="31"/>
      <c r="P42" s="31"/>
      <c r="Q42" s="31"/>
    </row>
    <row r="43" spans="13:17" ht="15.75" customHeight="1" x14ac:dyDescent="0.25">
      <c r="M43" s="31"/>
      <c r="N43" s="31"/>
      <c r="O43" s="31"/>
      <c r="P43" s="31"/>
      <c r="Q43" s="31"/>
    </row>
    <row r="44" spans="13:17" ht="15.75" customHeight="1" x14ac:dyDescent="0.25">
      <c r="M44" s="31"/>
      <c r="N44" s="31"/>
      <c r="O44" s="31"/>
      <c r="P44" s="31"/>
      <c r="Q44" s="31"/>
    </row>
    <row r="45" spans="13:17" ht="15.75" customHeight="1" x14ac:dyDescent="0.25">
      <c r="M45" s="31"/>
      <c r="N45" s="31"/>
      <c r="O45" s="31"/>
      <c r="P45" s="31"/>
      <c r="Q45" s="31"/>
    </row>
    <row r="46" spans="13:17" ht="15.75" customHeight="1" x14ac:dyDescent="0.25">
      <c r="M46" s="31"/>
      <c r="N46" s="31"/>
      <c r="O46" s="31"/>
      <c r="P46" s="31"/>
      <c r="Q46" s="31"/>
    </row>
    <row r="47" spans="13:17" ht="15.75" customHeight="1" x14ac:dyDescent="0.25">
      <c r="M47" s="31"/>
      <c r="N47" s="31"/>
      <c r="O47" s="31"/>
      <c r="P47" s="31"/>
      <c r="Q47" s="31"/>
    </row>
    <row r="48" spans="13:17" ht="15.75" customHeight="1" x14ac:dyDescent="0.25">
      <c r="M48" s="31"/>
      <c r="N48" s="31"/>
      <c r="O48" s="31"/>
      <c r="P48" s="31"/>
      <c r="Q48" s="31"/>
    </row>
    <row r="49" spans="13:17" ht="15.75" customHeight="1" x14ac:dyDescent="0.25">
      <c r="M49" s="31"/>
      <c r="N49" s="31"/>
      <c r="O49" s="31"/>
      <c r="P49" s="31"/>
      <c r="Q49" s="31"/>
    </row>
    <row r="50" spans="13:17" ht="15.75" customHeight="1" x14ac:dyDescent="0.25">
      <c r="M50" s="31"/>
      <c r="N50" s="31"/>
      <c r="O50" s="31"/>
      <c r="P50" s="31"/>
      <c r="Q50" s="31"/>
    </row>
    <row r="51" spans="13:17" ht="15.75" customHeight="1" x14ac:dyDescent="0.25">
      <c r="M51" s="31"/>
      <c r="N51" s="31"/>
      <c r="O51" s="31"/>
      <c r="P51" s="31"/>
      <c r="Q51" s="31"/>
    </row>
    <row r="52" spans="13:17" ht="15.75" customHeight="1" x14ac:dyDescent="0.25">
      <c r="M52" s="31"/>
      <c r="N52" s="31"/>
      <c r="O52" s="31"/>
      <c r="P52" s="31"/>
      <c r="Q52" s="31"/>
    </row>
    <row r="53" spans="13:17" ht="15.75" customHeight="1" x14ac:dyDescent="0.25">
      <c r="M53" s="31"/>
      <c r="N53" s="31"/>
      <c r="O53" s="31"/>
      <c r="P53" s="31"/>
      <c r="Q53" s="31"/>
    </row>
    <row r="54" spans="13:17" ht="15.75" customHeight="1" x14ac:dyDescent="0.25">
      <c r="M54" s="31"/>
      <c r="N54" s="31"/>
      <c r="O54" s="31"/>
      <c r="P54" s="31"/>
      <c r="Q54" s="31"/>
    </row>
    <row r="55" spans="13:17" ht="15.75" customHeight="1" x14ac:dyDescent="0.25">
      <c r="M55" s="31"/>
      <c r="N55" s="31"/>
      <c r="O55" s="31"/>
      <c r="P55" s="31"/>
      <c r="Q55" s="31"/>
    </row>
    <row r="56" spans="13:17" ht="15.75" customHeight="1" x14ac:dyDescent="0.25">
      <c r="M56" s="31"/>
      <c r="N56" s="31"/>
      <c r="O56" s="31"/>
      <c r="P56" s="31"/>
      <c r="Q56" s="31"/>
    </row>
    <row r="57" spans="13:17" ht="15.75" customHeight="1" x14ac:dyDescent="0.25">
      <c r="M57" s="31"/>
      <c r="N57" s="31"/>
      <c r="O57" s="31"/>
      <c r="P57" s="31"/>
      <c r="Q57" s="31"/>
    </row>
    <row r="58" spans="13:17" ht="15.75" customHeight="1" x14ac:dyDescent="0.25"/>
    <row r="59" spans="13:17" ht="15.75" customHeight="1" x14ac:dyDescent="0.25"/>
    <row r="60" spans="13:17" ht="15.75" customHeight="1" x14ac:dyDescent="0.25"/>
    <row r="61" spans="13:17" ht="15.75" customHeight="1" x14ac:dyDescent="0.25"/>
    <row r="62" spans="13:17" ht="15.75" customHeight="1" x14ac:dyDescent="0.25"/>
    <row r="63" spans="13:17" ht="15.75" customHeight="1" x14ac:dyDescent="0.25"/>
    <row r="64" spans="13:17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dataValidations count="10">
    <dataValidation type="list" sqref="G23" xr:uid="{00000000-0002-0000-0000-000000000000}">
      <formula1>"SPAN,RSPAN,ERSPAN"</formula1>
    </dataValidation>
    <dataValidation type="custom" allowBlank="1" showInputMessage="1" showErrorMessage="1" sqref="I26" xr:uid="{00000000-0002-0000-0000-000001000000}">
      <formula1>IF(I26="",TRUE,SUM(--_xlfn.TEXTAFTER(_xlfn.TEXTSPLIT(I26,"-"),"."))&lt;=K26)</formula1>
    </dataValidation>
    <dataValidation type="list" sqref="N2" xr:uid="{00000000-0002-0000-0000-000002000000}">
      <formula1>"OFF,STRICT,LOOSE"</formula1>
    </dataValidation>
    <dataValidation type="list" sqref="Q2" xr:uid="{00000000-0002-0000-0000-000003000000}">
      <formula1>"2,3"</formula1>
    </dataValidation>
    <dataValidation type="list" sqref="M26:N57 V2 R2:S2" xr:uid="{00000000-0002-0000-0000-000004000000}">
      <formula1>"OLD,NEW"</formula1>
    </dataValidation>
    <dataValidation type="list" sqref="T2 O26:O57" xr:uid="{00000000-0002-0000-0000-000005000000}">
      <formula1>"LEGACY,AUTH,ACCESS_SESSION"</formula1>
    </dataValidation>
    <dataValidation type="list" sqref="U2" xr:uid="{00000000-0002-0000-0000-000006000000}">
      <formula1>"CLASSIC,NAMED"</formula1>
    </dataValidation>
    <dataValidation type="list" sqref="W2" xr:uid="{00000000-0002-0000-0000-000007000000}">
      <formula1>"IKEV1,IKEV2"</formula1>
    </dataValidation>
    <dataValidation type="list" sqref="X2 P26:P57" xr:uid="{00000000-0002-0000-0000-000008000000}">
      <formula1>"AUTO,5,8,9"</formula1>
    </dataValidation>
    <dataValidation type="list" sqref="Y2 Q26:Q57" xr:uid="{00000000-0002-0000-0000-000009000000}">
      <formula1>"AUTO,DOT1Q_CMD,NO_CMD"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995"/>
  <sheetViews>
    <sheetView topLeftCell="D1" zoomScale="70" zoomScaleNormal="70" workbookViewId="0">
      <selection activeCell="E29" sqref="E29"/>
    </sheetView>
  </sheetViews>
  <sheetFormatPr defaultColWidth="12.5546875" defaultRowHeight="13.8" x14ac:dyDescent="0.25"/>
  <cols>
    <col min="1" max="1" width="15.44140625" style="12" customWidth="1"/>
    <col min="2" max="2" width="14.33203125" style="12" customWidth="1"/>
    <col min="3" max="3" width="75.88671875" style="12" customWidth="1"/>
    <col min="4" max="4" width="14.33203125" style="12" customWidth="1"/>
    <col min="5" max="5" width="75.88671875" style="12" customWidth="1"/>
    <col min="6" max="6" width="16.88671875" style="12" customWidth="1"/>
    <col min="7" max="7" width="75.88671875" style="12" customWidth="1"/>
    <col min="8" max="8" width="15.5546875" style="12" customWidth="1"/>
    <col min="9" max="9" width="14.33203125" style="12" customWidth="1"/>
    <col min="10" max="10" width="16.109375" style="12" customWidth="1"/>
    <col min="11" max="11" width="16.88671875" style="12" customWidth="1"/>
    <col min="12" max="12" width="15.44140625" customWidth="1"/>
    <col min="13" max="14" width="18" style="12" customWidth="1"/>
    <col min="15" max="16" width="18" customWidth="1"/>
    <col min="17" max="17" width="19.5546875" customWidth="1"/>
    <col min="18" max="21" width="18" customWidth="1"/>
    <col min="22" max="22" width="19.5546875" bestFit="1" customWidth="1"/>
    <col min="23" max="23" width="14.109375" style="12" customWidth="1"/>
    <col min="24" max="24" width="13.44140625" customWidth="1"/>
    <col min="25" max="25" width="9.44140625" customWidth="1"/>
    <col min="26" max="27" width="19" customWidth="1"/>
  </cols>
  <sheetData>
    <row r="1" spans="1:27" ht="27.9" customHeight="1" x14ac:dyDescent="0.25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8</v>
      </c>
      <c r="I1" s="24" t="s">
        <v>10</v>
      </c>
      <c r="J1" s="21" t="s">
        <v>11</v>
      </c>
      <c r="K1" s="21" t="s">
        <v>12</v>
      </c>
      <c r="L1" s="22" t="s">
        <v>13</v>
      </c>
      <c r="M1" s="22" t="s">
        <v>14</v>
      </c>
      <c r="N1" s="22" t="s">
        <v>15</v>
      </c>
      <c r="O1" s="33" t="s">
        <v>17</v>
      </c>
      <c r="P1" s="33" t="s">
        <v>18</v>
      </c>
      <c r="Q1" s="33" t="s">
        <v>19</v>
      </c>
      <c r="R1" s="33" t="s">
        <v>20</v>
      </c>
      <c r="S1" s="33" t="s">
        <v>21</v>
      </c>
      <c r="T1" s="33" t="s">
        <v>22</v>
      </c>
      <c r="U1" s="33" t="s">
        <v>23</v>
      </c>
      <c r="V1" s="33" t="s">
        <v>24</v>
      </c>
      <c r="W1" s="33" t="s">
        <v>116</v>
      </c>
      <c r="X1" s="33" t="s">
        <v>117</v>
      </c>
      <c r="Y1" s="33" t="s">
        <v>118</v>
      </c>
      <c r="Z1" s="33" t="s">
        <v>119</v>
      </c>
      <c r="AA1" s="33" t="s">
        <v>120</v>
      </c>
    </row>
    <row r="2" spans="1:27" ht="15.75" customHeight="1" x14ac:dyDescent="0.25">
      <c r="A2" s="12">
        <v>2</v>
      </c>
      <c r="B2" s="12" t="s">
        <v>25</v>
      </c>
      <c r="C2" s="12" t="str">
        <f>A2&amp;"."&amp;A2&amp;"."&amp;A2&amp;".0"</f>
        <v>2.2.2.0</v>
      </c>
      <c r="D2" s="12" t="s">
        <v>26</v>
      </c>
      <c r="E2" s="12" t="s">
        <v>27</v>
      </c>
      <c r="F2" s="12" t="s">
        <v>127</v>
      </c>
      <c r="G2" s="12" t="s">
        <v>27</v>
      </c>
      <c r="H2" s="12" t="str">
        <f>'Site 1 (HUB)'!I2</f>
        <v>TACACS-KEY</v>
      </c>
      <c r="I2" s="12" t="s">
        <v>29</v>
      </c>
      <c r="J2" s="14" t="str">
        <f>'Site 1 (HUB)'!L2</f>
        <v>10.1.10.10</v>
      </c>
      <c r="K2" s="14" t="str">
        <f>'Site 1 (HUB)'!M2</f>
        <v>10.1.10.10</v>
      </c>
      <c r="L2" s="20" t="s">
        <v>31</v>
      </c>
      <c r="M2" s="30" t="str">
        <f>'Site 1 (HUB)'!O2</f>
        <v>10.1.10.10</v>
      </c>
      <c r="N2" s="30" t="str">
        <f>'Site 1 (HUB)'!P2</f>
        <v>RADIUS-KEY</v>
      </c>
      <c r="O2" s="34" t="s">
        <v>33</v>
      </c>
      <c r="P2" s="34" t="s">
        <v>33</v>
      </c>
      <c r="Q2" s="34" t="s">
        <v>34</v>
      </c>
      <c r="R2" s="34" t="s">
        <v>35</v>
      </c>
      <c r="S2" s="34" t="s">
        <v>36</v>
      </c>
      <c r="T2" s="34" t="s">
        <v>37</v>
      </c>
      <c r="U2" s="34">
        <v>9</v>
      </c>
      <c r="V2" s="34" t="s">
        <v>84</v>
      </c>
      <c r="W2" s="39" t="b">
        <v>1</v>
      </c>
      <c r="X2" s="40" t="s">
        <v>30</v>
      </c>
      <c r="Y2" s="40" t="s">
        <v>121</v>
      </c>
      <c r="Z2" s="40" t="s">
        <v>122</v>
      </c>
      <c r="AA2" s="40" t="s">
        <v>123</v>
      </c>
    </row>
    <row r="3" spans="1:27" ht="15.75" customHeight="1" x14ac:dyDescent="0.25"/>
    <row r="4" spans="1:27" ht="31.5" customHeight="1" x14ac:dyDescent="0.25">
      <c r="A4" s="6" t="s">
        <v>39</v>
      </c>
      <c r="B4" s="6" t="s">
        <v>40</v>
      </c>
      <c r="C4" s="6" t="s">
        <v>41</v>
      </c>
      <c r="D4" s="6" t="s">
        <v>42</v>
      </c>
      <c r="E4" s="6" t="s">
        <v>43</v>
      </c>
      <c r="F4" s="6" t="s">
        <v>44</v>
      </c>
      <c r="G4" s="6" t="s">
        <v>45</v>
      </c>
      <c r="H4" s="6" t="s">
        <v>46</v>
      </c>
      <c r="I4" s="26" t="s">
        <v>47</v>
      </c>
      <c r="J4" s="27" t="s">
        <v>48</v>
      </c>
      <c r="K4" s="27" t="s">
        <v>49</v>
      </c>
    </row>
    <row r="5" spans="1:27" ht="15.75" customHeight="1" x14ac:dyDescent="0.25">
      <c r="A5" s="7" t="s">
        <v>50</v>
      </c>
      <c r="B5" s="8">
        <v>10</v>
      </c>
      <c r="C5" s="7">
        <v>0</v>
      </c>
      <c r="D5" s="7" t="str">
        <f>10&amp;"."&amp;$A$2&amp;"."&amp;B5&amp;".0"</f>
        <v>10.2.10.0</v>
      </c>
      <c r="E5" s="7" t="str">
        <f>10&amp;"."&amp;$A$2&amp;"."&amp;B5&amp;".1"</f>
        <v>10.2.10.1</v>
      </c>
      <c r="F5" s="7" t="s">
        <v>51</v>
      </c>
      <c r="G5" s="7" t="str">
        <f t="shared" ref="G5:G8" si="0"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f>
        <v>10.2.10.1</v>
      </c>
      <c r="H5" s="7" t="str">
        <f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f>
        <v>10.2.10.254</v>
      </c>
      <c r="I5" s="7">
        <v>40</v>
      </c>
      <c r="J5" s="9">
        <v>21</v>
      </c>
      <c r="K5" s="9">
        <v>5</v>
      </c>
    </row>
    <row r="6" spans="1:27" ht="15.75" customHeight="1" x14ac:dyDescent="0.25">
      <c r="A6" s="7" t="s">
        <v>52</v>
      </c>
      <c r="B6" s="8">
        <v>20</v>
      </c>
      <c r="C6" s="7">
        <v>0</v>
      </c>
      <c r="D6" s="7" t="str">
        <f t="shared" ref="D6:D8" si="1">10&amp;"."&amp;$A$2&amp;"."&amp;B6&amp;".0"</f>
        <v>10.2.20.0</v>
      </c>
      <c r="E6" s="7" t="str">
        <f t="shared" ref="E6:E8" si="2">10&amp;"."&amp;$A$2&amp;"."&amp;B6&amp;".1"</f>
        <v>10.2.20.1</v>
      </c>
      <c r="F6" s="7" t="s">
        <v>51</v>
      </c>
      <c r="G6" s="7" t="str">
        <f t="shared" si="0"/>
        <v>10.2.20.1</v>
      </c>
      <c r="H6" s="7" t="str">
        <f>(VALUE(LEFT(D6,FIND(".",D6)-1))+255-VALUE(LEFT(F6,FIND(".",F6)-1)))&amp;"."&amp;(VALUE(MID(D6,FIND(".",D6)+1,FIND(".",D6,FIND(".",D6)+1)-FIND(".",D6)-1))+255-VALUE(MID(F6,FIND(".",F6)+1,FIND(".",F6,FIND(".",F6)+1)-FIND(".",F6)-1)))&amp;"."&amp;(VALUE(MID(D6,FIND(".",D6,FIND(".",D6)+1)+1,FIND(".",D6,FIND(".",D6,FIND(".",D6)+1)+1)-FIND(".",D6,FIND(".",D6)+1)-1))+255-VALUE(MID(F6,FIND(".",F6,FIND(".",F6)+1)+1,FIND(".",F6,FIND(".",F6,FIND(".",F6)+1)+1)-FIND(".",F6,FIND(".",F6)+1)-1)))&amp;"."&amp;(VALUE(RIGHT(D6,LEN(D6)-FIND(".",D6,FIND(".",D6,FIND(".",D6)+1)+1)))+255-VALUE(RIGHT(F6,LEN(F6)-FIND(".",F6,FIND(".",F6,FIND(".",F6)+1)+1)))-1)</f>
        <v>10.2.20.254</v>
      </c>
      <c r="I6" s="7">
        <v>40</v>
      </c>
      <c r="J6" s="9">
        <v>11</v>
      </c>
      <c r="K6" s="9">
        <v>2</v>
      </c>
    </row>
    <row r="7" spans="1:27" ht="15.75" customHeight="1" x14ac:dyDescent="0.25">
      <c r="A7" s="7" t="s">
        <v>53</v>
      </c>
      <c r="B7" s="8">
        <v>30</v>
      </c>
      <c r="C7" s="7">
        <v>0</v>
      </c>
      <c r="D7" s="7" t="str">
        <f t="shared" si="1"/>
        <v>10.2.30.0</v>
      </c>
      <c r="E7" s="7" t="str">
        <f t="shared" si="2"/>
        <v>10.2.30.1</v>
      </c>
      <c r="F7" s="7" t="s">
        <v>51</v>
      </c>
      <c r="G7" s="7" t="str">
        <f t="shared" si="0"/>
        <v>10.2.30.1</v>
      </c>
      <c r="H7" s="7" t="str">
        <f>(VALUE(LEFT(D7,FIND(".",D7)-1))+255-VALUE(LEFT(F7,FIND(".",F7)-1)))&amp;"."&amp;(VALUE(MID(D7,FIND(".",D7)+1,FIND(".",D7,FIND(".",D7)+1)-FIND(".",D7)-1))+255-VALUE(MID(F7,FIND(".",F7)+1,FIND(".",F7,FIND(".",F7)+1)-FIND(".",F7)-1)))&amp;"."&amp;(VALUE(MID(D7,FIND(".",D7,FIND(".",D7)+1)+1,FIND(".",D7,FIND(".",D7,FIND(".",D7)+1)+1)-FIND(".",D7,FIND(".",D7)+1)-1))+255-VALUE(MID(F7,FIND(".",F7,FIND(".",F7)+1)+1,FIND(".",F7,FIND(".",F7,FIND(".",F7)+1)+1)-FIND(".",F7,FIND(".",F7)+1)-1)))&amp;"."&amp;(VALUE(RIGHT(D7,LEN(D7)-FIND(".",D7,FIND(".",D7,FIND(".",D7)+1)+1)))+255-VALUE(RIGHT(F7,LEN(F7)-FIND(".",F7,FIND(".",F7,FIND(".",F7)+1)+1)))-1)</f>
        <v>10.2.30.254</v>
      </c>
      <c r="I7" s="7">
        <v>40</v>
      </c>
      <c r="J7">
        <v>42</v>
      </c>
      <c r="K7">
        <v>7</v>
      </c>
    </row>
    <row r="8" spans="1:27" ht="15.75" customHeight="1" x14ac:dyDescent="0.25">
      <c r="A8" s="7" t="s">
        <v>54</v>
      </c>
      <c r="B8" s="8">
        <v>40</v>
      </c>
      <c r="C8" s="7">
        <v>0</v>
      </c>
      <c r="D8" s="7" t="str">
        <f t="shared" si="1"/>
        <v>10.2.40.0</v>
      </c>
      <c r="E8" s="7" t="str">
        <f t="shared" si="2"/>
        <v>10.2.40.1</v>
      </c>
      <c r="F8" s="7" t="s">
        <v>51</v>
      </c>
      <c r="G8" s="7" t="str">
        <f t="shared" si="0"/>
        <v>10.2.40.1</v>
      </c>
      <c r="H8" s="7" t="str">
        <f>(VALUE(LEFT(D8,FIND(".",D8)-1))+255-VALUE(LEFT(F8,FIND(".",F8)-1)))&amp;"."&amp;(VALUE(MID(D8,FIND(".",D8)+1,FIND(".",D8,FIND(".",D8)+1)-FIND(".",D8)-1))+255-VALUE(MID(F8,FIND(".",F8)+1,FIND(".",F8,FIND(".",F8)+1)-FIND(".",F8)-1)))&amp;"."&amp;(VALUE(MID(D8,FIND(".",D8,FIND(".",D8)+1)+1,FIND(".",D8,FIND(".",D8,FIND(".",D8)+1)+1)-FIND(".",D8,FIND(".",D8)+1)-1))+255-VALUE(MID(F8,FIND(".",F8,FIND(".",F8)+1)+1,FIND(".",F8,FIND(".",F8,FIND(".",F8)+1)+1)-FIND(".",F8,FIND(".",F8)+1)-1)))&amp;"."&amp;(VALUE(RIGHT(D8,LEN(D8)-FIND(".",D8,FIND(".",D8,FIND(".",D8)+1)+1)))+255-VALUE(RIGHT(F8,LEN(F8)-FIND(".",F8,FIND(".",F8,FIND(".",F8)+1)+1)))-1)</f>
        <v>10.2.40.254</v>
      </c>
      <c r="I8" s="7">
        <v>40</v>
      </c>
      <c r="J8">
        <v>41</v>
      </c>
      <c r="K8">
        <v>10</v>
      </c>
      <c r="L8" s="12"/>
    </row>
    <row r="9" spans="1:27" ht="15.75" customHeight="1" x14ac:dyDescent="0.25">
      <c r="A9" s="3"/>
      <c r="B9" s="3"/>
      <c r="C9"/>
      <c r="D9"/>
      <c r="E9"/>
      <c r="F9"/>
      <c r="G9"/>
      <c r="H9"/>
      <c r="I9"/>
      <c r="J9"/>
      <c r="K9"/>
      <c r="L9" s="12"/>
    </row>
    <row r="10" spans="1:27" ht="15.75" customHeight="1" x14ac:dyDescent="0.25">
      <c r="A10" s="6" t="s">
        <v>39</v>
      </c>
      <c r="B10" s="6" t="s">
        <v>56</v>
      </c>
      <c r="C10" s="6" t="s">
        <v>57</v>
      </c>
      <c r="D10"/>
      <c r="E10"/>
      <c r="F10"/>
      <c r="G10"/>
      <c r="H10"/>
      <c r="I10"/>
      <c r="J10"/>
      <c r="K10"/>
      <c r="L10" s="12"/>
    </row>
    <row r="11" spans="1:27" ht="15.75" customHeight="1" x14ac:dyDescent="0.25">
      <c r="A11" s="7" t="s">
        <v>50</v>
      </c>
      <c r="B11" s="7">
        <v>10</v>
      </c>
      <c r="C11" s="7" t="str">
        <f>$A$2&amp;"."&amp;$A$2&amp;"."&amp;$A$2&amp;"."&amp;B11</f>
        <v>2.2.2.10</v>
      </c>
      <c r="D11"/>
      <c r="E11"/>
      <c r="F11"/>
      <c r="G11"/>
      <c r="H11"/>
      <c r="I11"/>
      <c r="J11"/>
      <c r="K11"/>
      <c r="L11" s="12"/>
    </row>
    <row r="12" spans="1:27" ht="15.75" customHeight="1" x14ac:dyDescent="0.25">
      <c r="A12" s="7" t="s">
        <v>52</v>
      </c>
      <c r="B12" s="7">
        <v>20</v>
      </c>
      <c r="C12" s="7" t="str">
        <f t="shared" ref="C12:C14" si="3">$A$2&amp;"."&amp;$A$2&amp;"."&amp;$A$2&amp;"."&amp;B12</f>
        <v>2.2.2.20</v>
      </c>
      <c r="D12"/>
      <c r="E12"/>
      <c r="F12"/>
      <c r="G12"/>
      <c r="H12"/>
      <c r="I12"/>
      <c r="J12"/>
      <c r="K12"/>
      <c r="L12" s="12"/>
    </row>
    <row r="13" spans="1:27" ht="15.75" customHeight="1" x14ac:dyDescent="0.25">
      <c r="A13" s="7" t="s">
        <v>53</v>
      </c>
      <c r="B13" s="7">
        <v>30</v>
      </c>
      <c r="C13" s="7" t="str">
        <f t="shared" si="3"/>
        <v>2.2.2.30</v>
      </c>
      <c r="D13"/>
      <c r="E13"/>
      <c r="F13"/>
      <c r="G13"/>
      <c r="H13"/>
      <c r="I13"/>
      <c r="J13"/>
      <c r="K13"/>
      <c r="L13" s="12"/>
    </row>
    <row r="14" spans="1:27" ht="15.75" customHeight="1" x14ac:dyDescent="0.25">
      <c r="A14" s="7" t="s">
        <v>54</v>
      </c>
      <c r="B14" s="7">
        <v>40</v>
      </c>
      <c r="C14" s="7" t="str">
        <f t="shared" si="3"/>
        <v>2.2.2.40</v>
      </c>
      <c r="D14"/>
      <c r="E14"/>
      <c r="F14"/>
      <c r="G14"/>
      <c r="H14"/>
      <c r="I14"/>
      <c r="J14"/>
      <c r="K14"/>
      <c r="L14" s="12"/>
    </row>
    <row r="15" spans="1:27" ht="15.75" customHeight="1" x14ac:dyDescent="0.25"/>
    <row r="16" spans="1:27" ht="15.75" customHeight="1" x14ac:dyDescent="0.25">
      <c r="A16" s="12" t="s">
        <v>58</v>
      </c>
      <c r="B16" s="12" t="s">
        <v>39</v>
      </c>
      <c r="C16" s="12" t="s">
        <v>59</v>
      </c>
      <c r="D16" s="12" t="s">
        <v>44</v>
      </c>
      <c r="E16" s="12" t="s">
        <v>60</v>
      </c>
      <c r="F16" s="12" t="s">
        <v>61</v>
      </c>
      <c r="G16" s="12" t="s">
        <v>62</v>
      </c>
      <c r="H16" s="12" t="s">
        <v>63</v>
      </c>
      <c r="I16" s="12" t="s">
        <v>64</v>
      </c>
      <c r="J16" s="12" t="s">
        <v>65</v>
      </c>
    </row>
    <row r="17" spans="1:17" ht="15.75" customHeight="1" x14ac:dyDescent="0.25">
      <c r="A17" s="12" t="s">
        <v>66</v>
      </c>
      <c r="B17" s="12" t="s">
        <v>50</v>
      </c>
      <c r="C17" s="12" t="str">
        <f>172&amp;"."&amp;16&amp;"."&amp;H17&amp;"."&amp;$A$2</f>
        <v>172.16.10.2</v>
      </c>
      <c r="D17" s="12" t="s">
        <v>51</v>
      </c>
      <c r="E17" s="12" t="str">
        <f t="shared" ref="E17:E20" si="4">$C$2</f>
        <v>2.2.2.0</v>
      </c>
      <c r="F17"/>
      <c r="G17" s="12" t="s">
        <v>67</v>
      </c>
      <c r="H17" s="12">
        <v>10</v>
      </c>
      <c r="I17" s="29" t="b">
        <f>'Site 1 (HUB)'!I17</f>
        <v>1</v>
      </c>
      <c r="J17"/>
    </row>
    <row r="18" spans="1:17" ht="15.75" customHeight="1" x14ac:dyDescent="0.25">
      <c r="A18" s="12" t="s">
        <v>68</v>
      </c>
      <c r="B18" s="12" t="s">
        <v>52</v>
      </c>
      <c r="C18" s="12" t="str">
        <f>172&amp;"."&amp;16&amp;"."&amp;H18&amp;"."&amp;$A$2</f>
        <v>172.16.20.2</v>
      </c>
      <c r="D18" s="12" t="s">
        <v>51</v>
      </c>
      <c r="E18" s="12" t="str">
        <f t="shared" si="4"/>
        <v>2.2.2.0</v>
      </c>
      <c r="F18"/>
      <c r="G18" s="12" t="s">
        <v>67</v>
      </c>
      <c r="H18" s="12">
        <v>20</v>
      </c>
      <c r="I18" s="29" t="b" cm="1">
        <f>'Site 1 (HUB)'!I18</f>
        <v>0</v>
      </c>
      <c r="J18"/>
    </row>
    <row r="19" spans="1:17" ht="15.75" customHeight="1" x14ac:dyDescent="0.25">
      <c r="A19" s="12" t="s">
        <v>69</v>
      </c>
      <c r="B19" s="12" t="s">
        <v>53</v>
      </c>
      <c r="C19" s="12" t="str">
        <f>172&amp;"."&amp;16&amp;"."&amp;H19&amp;"."&amp;$A$2</f>
        <v>172.16.30.2</v>
      </c>
      <c r="D19" s="12" t="s">
        <v>51</v>
      </c>
      <c r="E19" s="12" t="str">
        <f t="shared" si="4"/>
        <v>2.2.2.0</v>
      </c>
      <c r="F19"/>
      <c r="G19" s="12" t="s">
        <v>67</v>
      </c>
      <c r="H19" s="12">
        <v>30</v>
      </c>
      <c r="I19" s="29" t="b">
        <f>'Site 1 (HUB)'!I19</f>
        <v>1</v>
      </c>
      <c r="J19"/>
    </row>
    <row r="20" spans="1:17" ht="15.75" customHeight="1" x14ac:dyDescent="0.25">
      <c r="A20" s="12" t="s">
        <v>70</v>
      </c>
      <c r="B20" s="12" t="s">
        <v>54</v>
      </c>
      <c r="C20" s="12" t="str">
        <f t="shared" ref="C20" si="5">172&amp;"."&amp;16&amp;"."&amp;H20&amp;"."&amp;$A$2</f>
        <v>172.16.40.2</v>
      </c>
      <c r="D20" s="12" t="s">
        <v>51</v>
      </c>
      <c r="E20" s="12" t="str">
        <f t="shared" si="4"/>
        <v>2.2.2.0</v>
      </c>
      <c r="F20"/>
      <c r="G20" s="12" t="s">
        <v>67</v>
      </c>
      <c r="H20" s="12">
        <v>40</v>
      </c>
      <c r="I20" s="29" t="b">
        <f>'Site 1 (HUB)'!I20</f>
        <v>1</v>
      </c>
      <c r="J20"/>
    </row>
    <row r="21" spans="1:17" ht="15.75" customHeight="1" x14ac:dyDescent="0.25"/>
    <row r="22" spans="1:17" ht="16.5" customHeight="1" x14ac:dyDescent="0.25">
      <c r="A22" s="12" t="s">
        <v>0</v>
      </c>
      <c r="B22" s="12" t="s">
        <v>3</v>
      </c>
      <c r="C22" s="12" t="s">
        <v>4</v>
      </c>
      <c r="D22" s="12" t="s">
        <v>5</v>
      </c>
      <c r="E22" s="12" t="s">
        <v>6</v>
      </c>
      <c r="F22" s="12" t="s">
        <v>71</v>
      </c>
      <c r="G22" s="1" t="s">
        <v>72</v>
      </c>
      <c r="H22" s="1" t="s">
        <v>73</v>
      </c>
    </row>
    <row r="23" spans="1:17" ht="15.75" customHeight="1" x14ac:dyDescent="0.25">
      <c r="A23" s="12">
        <f>$A$2</f>
        <v>2</v>
      </c>
      <c r="B23" s="12" t="str">
        <f>$D$2</f>
        <v>admin</v>
      </c>
      <c r="C23" s="12" t="str">
        <f>$E$2</f>
        <v>$9$0nNdTjfcaOQFlP$4VgON16XmZXlfGr4BcOzEN7OoRxfPIAcXDQ0afwx67k</v>
      </c>
      <c r="D23" s="12" t="str">
        <f>$F$2</f>
        <v>0 - 15</v>
      </c>
      <c r="E23" s="12" t="str">
        <f>$G$2</f>
        <v>$9$0nNdTjfcaOQFlP$4VgON16XmZXlfGr4BcOzEN7OoRxfPIAcXDQ0afwx67k</v>
      </c>
      <c r="F23" s="12">
        <v>1</v>
      </c>
      <c r="G23" s="2"/>
      <c r="H23" s="30" t="s">
        <v>74</v>
      </c>
    </row>
    <row r="24" spans="1:17" ht="15.75" customHeight="1" x14ac:dyDescent="0.25"/>
    <row r="25" spans="1:17" ht="27.9" customHeight="1" x14ac:dyDescent="0.25">
      <c r="A25" s="13" t="s">
        <v>75</v>
      </c>
      <c r="B25" s="13" t="s">
        <v>76</v>
      </c>
      <c r="C25" s="13" t="s">
        <v>77</v>
      </c>
      <c r="D25" s="13" t="s">
        <v>43</v>
      </c>
      <c r="E25" s="13" t="s">
        <v>44</v>
      </c>
      <c r="F25" s="13" t="s">
        <v>78</v>
      </c>
      <c r="G25" s="13" t="s">
        <v>79</v>
      </c>
      <c r="H25" s="13" t="s">
        <v>80</v>
      </c>
      <c r="I25" s="13" t="s">
        <v>81</v>
      </c>
      <c r="J25" s="13" t="s">
        <v>1</v>
      </c>
      <c r="K25" s="13" t="s">
        <v>82</v>
      </c>
      <c r="L25" s="25" t="s">
        <v>83</v>
      </c>
      <c r="M25" s="1" t="s">
        <v>17</v>
      </c>
      <c r="N25" s="1" t="s">
        <v>18</v>
      </c>
      <c r="O25" s="1" t="s">
        <v>19</v>
      </c>
      <c r="P25" s="1" t="s">
        <v>23</v>
      </c>
      <c r="Q25" s="1" t="s">
        <v>24</v>
      </c>
    </row>
    <row r="26" spans="1:17" ht="45" customHeight="1" x14ac:dyDescent="0.25">
      <c r="A26" s="7">
        <f>ROW()-25</f>
        <v>1</v>
      </c>
      <c r="B26" s="7">
        <f>$B$5</f>
        <v>10</v>
      </c>
      <c r="C26" s="7" t="str">
        <f>10&amp;"."&amp;$A$2&amp;"."&amp;$B$5&amp;"."&amp;(A26+1)</f>
        <v>10.2.10.2</v>
      </c>
      <c r="D26" s="7" t="str">
        <f>$E$5</f>
        <v>10.2.10.1</v>
      </c>
      <c r="E26" s="7" t="str">
        <f>$F$5</f>
        <v>255.255.255.0</v>
      </c>
      <c r="F26" s="7">
        <v>49</v>
      </c>
      <c r="G26" s="7">
        <v>1</v>
      </c>
      <c r="H26" s="10">
        <v>0</v>
      </c>
      <c r="I26" s="7" t="s">
        <v>130</v>
      </c>
      <c r="J26" s="2" t="s">
        <v>128</v>
      </c>
      <c r="K26" s="2">
        <f>IF($A26=1,F26-G26-H26*$F$23-2-IF(OR(UPPER($G$23)="SPAN",UPPER($G$23)="RSPAN"),1,0),F26-G26-(1+H26)*$F$23-1)</f>
        <v>46</v>
      </c>
      <c r="M26" s="31"/>
      <c r="N26" s="31"/>
      <c r="O26" s="31"/>
      <c r="P26" s="31"/>
      <c r="Q26" s="31"/>
    </row>
    <row r="27" spans="1:17" ht="15.75" customHeight="1" x14ac:dyDescent="0.25">
      <c r="A27" s="7">
        <f>ROW()-25</f>
        <v>2</v>
      </c>
      <c r="B27" s="7">
        <f>$B$5</f>
        <v>10</v>
      </c>
      <c r="C27" s="41" t="str">
        <f>10&amp;"."&amp;$A$2&amp;"."&amp;$B$5&amp;"."&amp;(A27+1)</f>
        <v>10.2.10.3</v>
      </c>
      <c r="D27" s="41" t="str">
        <f>$E$5</f>
        <v>10.2.10.1</v>
      </c>
      <c r="E27" s="7" t="str">
        <f>$F$5</f>
        <v>255.255.255.0</v>
      </c>
      <c r="F27" s="7">
        <v>11</v>
      </c>
      <c r="G27" s="7">
        <v>1</v>
      </c>
      <c r="H27" s="7">
        <v>0</v>
      </c>
      <c r="I27" s="42" t="s">
        <v>131</v>
      </c>
      <c r="J27" s="2" t="s">
        <v>25</v>
      </c>
      <c r="K27" s="43">
        <f>IF($A27=1,F27-G27-H27*$F$23-2-IF(OR(UPPER($G$23)="SPAN",UPPER($G$23)="RSPAN"),1,0),F27-G27-(1+H27)*$F$23-1)</f>
        <v>8</v>
      </c>
      <c r="M27" s="31"/>
      <c r="N27" s="31"/>
      <c r="O27" s="31"/>
      <c r="P27" s="31"/>
      <c r="Q27" s="31"/>
    </row>
    <row r="28" spans="1:17" ht="15.75" customHeight="1" x14ac:dyDescent="0.25">
      <c r="M28" s="31"/>
      <c r="N28" s="31"/>
      <c r="O28" s="31"/>
      <c r="P28" s="31"/>
      <c r="Q28" s="31"/>
    </row>
    <row r="29" spans="1:17" ht="15.75" customHeight="1" x14ac:dyDescent="0.25">
      <c r="M29" s="31"/>
      <c r="N29" s="31"/>
      <c r="O29" s="31"/>
      <c r="P29" s="31"/>
      <c r="Q29" s="31"/>
    </row>
    <row r="30" spans="1:17" ht="15.75" customHeight="1" x14ac:dyDescent="0.25">
      <c r="M30" s="31"/>
      <c r="N30" s="31"/>
      <c r="O30" s="31"/>
      <c r="P30" s="31"/>
      <c r="Q30" s="31"/>
    </row>
    <row r="31" spans="1:17" ht="15.75" customHeight="1" x14ac:dyDescent="0.25">
      <c r="M31" s="31"/>
      <c r="N31" s="31"/>
      <c r="O31" s="31"/>
      <c r="P31" s="31"/>
      <c r="Q31" s="31"/>
    </row>
    <row r="32" spans="1:17" ht="15.75" customHeight="1" x14ac:dyDescent="0.25">
      <c r="M32" s="31"/>
      <c r="N32" s="31"/>
      <c r="O32" s="31"/>
      <c r="P32" s="31"/>
      <c r="Q32" s="31"/>
    </row>
    <row r="33" spans="13:17" ht="15.75" customHeight="1" x14ac:dyDescent="0.25">
      <c r="M33" s="31"/>
      <c r="N33" s="31"/>
      <c r="O33" s="31"/>
      <c r="P33" s="31"/>
      <c r="Q33" s="31"/>
    </row>
    <row r="34" spans="13:17" ht="15.75" customHeight="1" x14ac:dyDescent="0.25">
      <c r="M34" s="31"/>
      <c r="N34" s="31"/>
      <c r="O34" s="31"/>
      <c r="P34" s="31"/>
      <c r="Q34" s="31"/>
    </row>
    <row r="35" spans="13:17" ht="15.75" customHeight="1" x14ac:dyDescent="0.25">
      <c r="M35" s="31"/>
      <c r="N35" s="31"/>
      <c r="O35" s="31"/>
      <c r="P35" s="31"/>
      <c r="Q35" s="31"/>
    </row>
    <row r="36" spans="13:17" ht="15.75" customHeight="1" x14ac:dyDescent="0.25">
      <c r="M36" s="31"/>
      <c r="N36" s="31"/>
      <c r="O36" s="31"/>
      <c r="P36" s="31"/>
      <c r="Q36" s="31"/>
    </row>
    <row r="37" spans="13:17" ht="15.75" customHeight="1" x14ac:dyDescent="0.25">
      <c r="M37" s="31"/>
      <c r="N37" s="31"/>
      <c r="O37" s="31"/>
      <c r="P37" s="31"/>
      <c r="Q37" s="31"/>
    </row>
    <row r="38" spans="13:17" ht="15.75" customHeight="1" x14ac:dyDescent="0.25">
      <c r="M38" s="31"/>
      <c r="N38" s="31"/>
      <c r="O38" s="31"/>
      <c r="P38" s="31"/>
      <c r="Q38" s="31"/>
    </row>
    <row r="39" spans="13:17" ht="15.75" customHeight="1" x14ac:dyDescent="0.25">
      <c r="M39" s="31"/>
      <c r="N39" s="31"/>
      <c r="O39" s="31"/>
      <c r="P39" s="31"/>
      <c r="Q39" s="31"/>
    </row>
    <row r="40" spans="13:17" ht="15.75" customHeight="1" x14ac:dyDescent="0.25">
      <c r="M40" s="31"/>
      <c r="N40" s="31"/>
      <c r="O40" s="31"/>
      <c r="P40" s="31"/>
      <c r="Q40" s="31"/>
    </row>
    <row r="41" spans="13:17" ht="15.75" customHeight="1" x14ac:dyDescent="0.25">
      <c r="M41" s="31"/>
      <c r="N41" s="31"/>
      <c r="O41" s="31"/>
      <c r="P41" s="31"/>
      <c r="Q41" s="31"/>
    </row>
    <row r="42" spans="13:17" ht="15.75" customHeight="1" x14ac:dyDescent="0.25">
      <c r="M42" s="31"/>
      <c r="N42" s="31"/>
      <c r="O42" s="31"/>
      <c r="P42" s="31"/>
      <c r="Q42" s="31"/>
    </row>
    <row r="43" spans="13:17" ht="15.75" customHeight="1" x14ac:dyDescent="0.25">
      <c r="M43" s="31"/>
      <c r="N43" s="31"/>
      <c r="O43" s="31"/>
      <c r="P43" s="31"/>
      <c r="Q43" s="31"/>
    </row>
    <row r="44" spans="13:17" ht="15.75" customHeight="1" x14ac:dyDescent="0.25">
      <c r="M44" s="31"/>
      <c r="N44" s="31"/>
      <c r="O44" s="31"/>
      <c r="P44" s="31"/>
      <c r="Q44" s="31"/>
    </row>
    <row r="45" spans="13:17" ht="15.75" customHeight="1" x14ac:dyDescent="0.25">
      <c r="M45" s="31"/>
      <c r="N45" s="31"/>
      <c r="O45" s="31"/>
      <c r="P45" s="31"/>
      <c r="Q45" s="31"/>
    </row>
    <row r="46" spans="13:17" ht="15.75" customHeight="1" x14ac:dyDescent="0.25">
      <c r="M46" s="31"/>
      <c r="N46" s="31"/>
      <c r="O46" s="31"/>
      <c r="P46" s="31"/>
      <c r="Q46" s="31"/>
    </row>
    <row r="47" spans="13:17" ht="15.75" customHeight="1" x14ac:dyDescent="0.25">
      <c r="M47" s="31"/>
      <c r="N47" s="31"/>
      <c r="O47" s="31"/>
      <c r="P47" s="31"/>
      <c r="Q47" s="31"/>
    </row>
    <row r="48" spans="13:17" ht="15.75" customHeight="1" x14ac:dyDescent="0.25">
      <c r="M48" s="31"/>
      <c r="N48" s="31"/>
      <c r="O48" s="31"/>
      <c r="P48" s="31"/>
      <c r="Q48" s="31"/>
    </row>
    <row r="49" spans="13:17" ht="15.75" customHeight="1" x14ac:dyDescent="0.25">
      <c r="M49" s="31"/>
      <c r="N49" s="31"/>
      <c r="O49" s="31"/>
      <c r="P49" s="31"/>
      <c r="Q49" s="31"/>
    </row>
    <row r="50" spans="13:17" ht="15.75" customHeight="1" x14ac:dyDescent="0.25">
      <c r="M50" s="31"/>
      <c r="N50" s="31"/>
      <c r="O50" s="31"/>
      <c r="P50" s="31"/>
      <c r="Q50" s="31"/>
    </row>
    <row r="51" spans="13:17" ht="15.75" customHeight="1" x14ac:dyDescent="0.25">
      <c r="M51" s="31"/>
      <c r="N51" s="31"/>
      <c r="O51" s="31"/>
      <c r="P51" s="31"/>
      <c r="Q51" s="31"/>
    </row>
    <row r="52" spans="13:17" ht="15.75" customHeight="1" x14ac:dyDescent="0.25">
      <c r="M52" s="31"/>
      <c r="N52" s="31"/>
      <c r="O52" s="31"/>
      <c r="P52" s="31"/>
      <c r="Q52" s="31"/>
    </row>
    <row r="53" spans="13:17" ht="15.75" customHeight="1" x14ac:dyDescent="0.25">
      <c r="M53" s="31"/>
      <c r="N53" s="31"/>
      <c r="O53" s="31"/>
      <c r="P53" s="31"/>
      <c r="Q53" s="31"/>
    </row>
    <row r="54" spans="13:17" ht="15.75" customHeight="1" x14ac:dyDescent="0.25">
      <c r="M54" s="31"/>
      <c r="N54" s="31"/>
      <c r="O54" s="31"/>
      <c r="P54" s="31"/>
      <c r="Q54" s="31"/>
    </row>
    <row r="55" spans="13:17" ht="15.75" customHeight="1" x14ac:dyDescent="0.25">
      <c r="M55" s="31"/>
      <c r="N55" s="31"/>
      <c r="O55" s="31"/>
      <c r="P55" s="31"/>
      <c r="Q55" s="31"/>
    </row>
    <row r="56" spans="13:17" ht="15.75" customHeight="1" x14ac:dyDescent="0.25">
      <c r="M56" s="31"/>
      <c r="N56" s="31"/>
      <c r="O56" s="31"/>
      <c r="P56" s="31"/>
      <c r="Q56" s="31"/>
    </row>
    <row r="57" spans="13:17" ht="15.75" customHeight="1" x14ac:dyDescent="0.25">
      <c r="M57" s="31"/>
      <c r="N57" s="31"/>
      <c r="O57" s="31"/>
      <c r="P57" s="31"/>
      <c r="Q57" s="31"/>
    </row>
    <row r="58" spans="13:17" ht="15.75" customHeight="1" x14ac:dyDescent="0.25"/>
    <row r="59" spans="13:17" ht="15.75" customHeight="1" x14ac:dyDescent="0.25"/>
    <row r="60" spans="13:17" ht="15.75" customHeight="1" x14ac:dyDescent="0.25"/>
    <row r="61" spans="13:17" ht="15.75" customHeight="1" x14ac:dyDescent="0.25"/>
    <row r="62" spans="13:17" ht="15.75" customHeight="1" x14ac:dyDescent="0.25"/>
    <row r="63" spans="13:17" ht="15.75" customHeight="1" x14ac:dyDescent="0.25"/>
    <row r="64" spans="13:17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</sheetData>
  <dataValidations count="9">
    <dataValidation type="list" sqref="G23" xr:uid="{00000000-0002-0000-0100-000000000000}">
      <formula1>"SPAN,RSPAN,ERSPAN"</formula1>
    </dataValidation>
    <dataValidation type="list" sqref="L2" xr:uid="{00000000-0002-0000-0100-000001000000}">
      <formula1>"OFF,STRICT,LOOSE"</formula1>
    </dataValidation>
    <dataValidation type="custom" allowBlank="1" showInputMessage="1" showErrorMessage="1" sqref="I26:I27" xr:uid="{6050EE6B-A0D6-483D-B963-EC3B425AE0E5}">
      <formula1>IF(I26="",TRUE,SUM(--_xlfn.TEXTAFTER(_xlfn.TEXTSPLIT(I26,"-"),"."))&lt;=K26)</formula1>
    </dataValidation>
    <dataValidation type="list" sqref="O2:P2 S2 M26:N57" xr:uid="{00000000-0002-0000-0100-000003000000}">
      <formula1>"OLD,NEW"</formula1>
    </dataValidation>
    <dataValidation type="list" sqref="Q2 O26:O57" xr:uid="{00000000-0002-0000-0100-000004000000}">
      <formula1>"LEGACY,AUTH,ACCESS_SESSION"</formula1>
    </dataValidation>
    <dataValidation type="list" sqref="R2" xr:uid="{00000000-0002-0000-0100-000005000000}">
      <formula1>"CLASSIC,NAMED"</formula1>
    </dataValidation>
    <dataValidation type="list" sqref="T2" xr:uid="{00000000-0002-0000-0100-000006000000}">
      <formula1>"IKEV1,IKEV2"</formula1>
    </dataValidation>
    <dataValidation type="list" sqref="U2 P26:P57" xr:uid="{00000000-0002-0000-0100-000007000000}">
      <formula1>"AUTO,5,8,9"</formula1>
    </dataValidation>
    <dataValidation type="list" sqref="V2 Q26:Q57" xr:uid="{00000000-0002-0000-0100-000008000000}">
      <formula1>"AUTO,DOT1Q_CMD,NO_CMD"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G38" sqref="G38"/>
    </sheetView>
  </sheetViews>
  <sheetFormatPr defaultRowHeight="13.2" x14ac:dyDescent="0.25"/>
  <cols>
    <col min="1" max="1" width="15" customWidth="1"/>
    <col min="2" max="2" width="20" customWidth="1"/>
    <col min="3" max="3" width="14" customWidth="1"/>
    <col min="4" max="4" width="20" customWidth="1"/>
    <col min="5" max="5" width="12" customWidth="1"/>
    <col min="7" max="7" width="18" customWidth="1"/>
    <col min="8" max="8" width="58" customWidth="1"/>
  </cols>
  <sheetData>
    <row r="1" spans="1:8" x14ac:dyDescent="0.25">
      <c r="A1" s="15" t="s">
        <v>60</v>
      </c>
      <c r="B1" s="15" t="s">
        <v>61</v>
      </c>
      <c r="C1" s="15" t="s">
        <v>85</v>
      </c>
      <c r="D1" s="15" t="s">
        <v>86</v>
      </c>
      <c r="E1" s="15" t="s">
        <v>87</v>
      </c>
      <c r="G1" s="17" t="s">
        <v>88</v>
      </c>
      <c r="H1" s="17" t="s">
        <v>89</v>
      </c>
    </row>
    <row r="2" spans="1:8" ht="26.4" x14ac:dyDescent="0.25">
      <c r="A2" s="16" t="s">
        <v>50</v>
      </c>
      <c r="B2" s="16" t="s">
        <v>9</v>
      </c>
      <c r="C2" s="16" t="s">
        <v>90</v>
      </c>
      <c r="D2" s="16">
        <v>67</v>
      </c>
      <c r="E2" s="16" t="s">
        <v>91</v>
      </c>
      <c r="G2" s="18" t="s">
        <v>92</v>
      </c>
      <c r="H2" s="18" t="s">
        <v>93</v>
      </c>
    </row>
    <row r="3" spans="1:8" ht="39.6" x14ac:dyDescent="0.25">
      <c r="A3" s="16" t="s">
        <v>50</v>
      </c>
      <c r="B3" s="16" t="s">
        <v>50</v>
      </c>
      <c r="C3" s="16" t="s">
        <v>94</v>
      </c>
      <c r="D3" s="16" t="s">
        <v>95</v>
      </c>
      <c r="E3" s="16" t="s">
        <v>91</v>
      </c>
      <c r="G3" s="18" t="s">
        <v>96</v>
      </c>
      <c r="H3" s="18" t="s">
        <v>97</v>
      </c>
    </row>
    <row r="4" spans="1:8" ht="26.4" x14ac:dyDescent="0.25">
      <c r="A4" s="16" t="s">
        <v>52</v>
      </c>
      <c r="B4" s="16" t="s">
        <v>9</v>
      </c>
      <c r="C4" s="16" t="s">
        <v>90</v>
      </c>
      <c r="D4" s="16">
        <v>67</v>
      </c>
      <c r="E4" s="16" t="s">
        <v>91</v>
      </c>
      <c r="G4" s="18" t="s">
        <v>98</v>
      </c>
      <c r="H4" s="18" t="s">
        <v>99</v>
      </c>
    </row>
    <row r="5" spans="1:8" ht="26.4" x14ac:dyDescent="0.25">
      <c r="A5" s="16" t="s">
        <v>52</v>
      </c>
      <c r="B5" s="16" t="s">
        <v>52</v>
      </c>
      <c r="C5" s="16" t="s">
        <v>94</v>
      </c>
      <c r="D5" s="16" t="s">
        <v>95</v>
      </c>
      <c r="E5" s="16" t="s">
        <v>100</v>
      </c>
      <c r="G5" s="18" t="s">
        <v>9</v>
      </c>
      <c r="H5" s="18" t="s">
        <v>101</v>
      </c>
    </row>
    <row r="6" spans="1:8" ht="26.4" x14ac:dyDescent="0.25">
      <c r="A6" s="16" t="s">
        <v>52</v>
      </c>
      <c r="B6" s="16" t="s">
        <v>102</v>
      </c>
      <c r="C6" s="16" t="s">
        <v>90</v>
      </c>
      <c r="D6" s="16">
        <v>53</v>
      </c>
      <c r="E6" s="16" t="s">
        <v>91</v>
      </c>
      <c r="G6" s="18" t="s">
        <v>103</v>
      </c>
      <c r="H6" s="18" t="s">
        <v>104</v>
      </c>
    </row>
    <row r="7" spans="1:8" ht="26.4" x14ac:dyDescent="0.25">
      <c r="A7" s="16" t="s">
        <v>52</v>
      </c>
      <c r="B7" s="16" t="s">
        <v>102</v>
      </c>
      <c r="C7" s="16" t="s">
        <v>105</v>
      </c>
      <c r="D7" s="16">
        <v>53</v>
      </c>
      <c r="E7" s="16" t="s">
        <v>91</v>
      </c>
      <c r="G7" s="18" t="s">
        <v>106</v>
      </c>
      <c r="H7" s="18" t="s">
        <v>107</v>
      </c>
    </row>
    <row r="8" spans="1:8" ht="39.6" x14ac:dyDescent="0.25">
      <c r="A8" s="16" t="s">
        <v>52</v>
      </c>
      <c r="B8" s="16" t="s">
        <v>108</v>
      </c>
      <c r="C8" s="16" t="s">
        <v>105</v>
      </c>
      <c r="D8" s="16">
        <v>80</v>
      </c>
      <c r="E8" s="16" t="s">
        <v>91</v>
      </c>
      <c r="G8" s="18" t="s">
        <v>55</v>
      </c>
      <c r="H8" s="18" t="s">
        <v>109</v>
      </c>
    </row>
    <row r="9" spans="1:8" ht="26.4" x14ac:dyDescent="0.25">
      <c r="A9" s="16" t="s">
        <v>52</v>
      </c>
      <c r="B9" s="16" t="s">
        <v>108</v>
      </c>
      <c r="C9" s="16" t="s">
        <v>105</v>
      </c>
      <c r="D9" s="16">
        <v>443</v>
      </c>
      <c r="E9" s="16" t="s">
        <v>91</v>
      </c>
      <c r="G9" s="18" t="s">
        <v>110</v>
      </c>
      <c r="H9" s="18" t="s">
        <v>111</v>
      </c>
    </row>
    <row r="10" spans="1:8" x14ac:dyDescent="0.25">
      <c r="A10" s="16" t="s">
        <v>53</v>
      </c>
      <c r="B10" s="16" t="s">
        <v>9</v>
      </c>
      <c r="C10" s="16" t="s">
        <v>90</v>
      </c>
      <c r="D10" s="16">
        <v>67</v>
      </c>
      <c r="E10" s="16" t="s">
        <v>91</v>
      </c>
    </row>
    <row r="11" spans="1:8" x14ac:dyDescent="0.25">
      <c r="A11" s="16" t="s">
        <v>53</v>
      </c>
      <c r="B11" s="16" t="s">
        <v>53</v>
      </c>
      <c r="C11" s="16" t="s">
        <v>94</v>
      </c>
      <c r="D11" s="16" t="s">
        <v>95</v>
      </c>
      <c r="E11" s="16" t="s">
        <v>91</v>
      </c>
    </row>
    <row r="12" spans="1:8" x14ac:dyDescent="0.25">
      <c r="A12" s="16" t="s">
        <v>54</v>
      </c>
      <c r="B12" s="16" t="s">
        <v>9</v>
      </c>
      <c r="C12" s="16" t="s">
        <v>90</v>
      </c>
      <c r="D12" s="16">
        <v>67</v>
      </c>
      <c r="E12" s="16" t="s">
        <v>91</v>
      </c>
    </row>
    <row r="13" spans="1:8" x14ac:dyDescent="0.25">
      <c r="A13" s="16" t="s">
        <v>54</v>
      </c>
      <c r="B13" s="16" t="s">
        <v>54</v>
      </c>
      <c r="C13" s="16" t="s">
        <v>94</v>
      </c>
      <c r="D13" s="16" t="s">
        <v>95</v>
      </c>
      <c r="E13" s="16" t="s">
        <v>91</v>
      </c>
    </row>
    <row r="14" spans="1:8" x14ac:dyDescent="0.25">
      <c r="G14" t="s">
        <v>112</v>
      </c>
      <c r="H14" t="s">
        <v>113</v>
      </c>
    </row>
    <row r="15" spans="1:8" x14ac:dyDescent="0.25">
      <c r="G15" t="s">
        <v>114</v>
      </c>
      <c r="H15" t="s">
        <v>115</v>
      </c>
    </row>
  </sheetData>
  <dataValidations count="4">
    <dataValidation type="list" sqref="A2:A200" xr:uid="{00000000-0002-0000-0200-000000000000}">
      <formula1>"MGMT,INET,UNET,PA,MONITORING"</formula1>
    </dataValidation>
    <dataValidation type="list" sqref="B2:B200" xr:uid="{00000000-0002-0000-0200-000001000000}">
      <formula1>"MGMT,INET,UNET,PA,MONITORING,INTERNET,ANY,DNS,DHCP,TACACS,SYSLOG,SELF"</formula1>
    </dataValidation>
    <dataValidation type="list" sqref="C2:C200" xr:uid="{00000000-0002-0000-0200-000002000000}">
      <formula1>"ip,tcp,udp,icmp,gre,esp,ah"</formula1>
    </dataValidation>
    <dataValidation type="list" sqref="E2:E200" xr:uid="{00000000-0002-0000-0200-000003000000}">
      <formula1>"permit,deny"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Site 1 (HUB)</vt:lpstr>
      <vt:lpstr>Site 2</vt:lpstr>
      <vt:lpstr>FLOW_POLICY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2026-09-24T16:52:43Z</dcterms:modified>
</cp:coreProperties>
</file>