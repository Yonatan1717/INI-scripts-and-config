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NO_MPLS_SAD\"/>
    </mc:Choice>
  </mc:AlternateContent>
  <xr:revisionPtr revIDLastSave="0" documentId="13_ncr:1_{90FDC081-0AE7-480A-A5CE-BDBCEDF0E33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ite 1 (HUB)" sheetId="1" r:id="rId1"/>
    <sheet name="Site 2" sheetId="4" r:id="rId2"/>
    <sheet name="Site 3" sheetId="2" r:id="rId3"/>
    <sheet name="FLOW_POLIC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2" l="1"/>
  <c r="D26" i="2"/>
  <c r="B26" i="2"/>
  <c r="A26" i="2"/>
  <c r="E27" i="4"/>
  <c r="B27" i="4"/>
  <c r="A27" i="4"/>
  <c r="E26" i="4"/>
  <c r="B26" i="4"/>
  <c r="A26" i="4"/>
  <c r="E23" i="4"/>
  <c r="D23" i="4"/>
  <c r="C23" i="4"/>
  <c r="B23" i="4"/>
  <c r="A23" i="4"/>
  <c r="I20" i="4"/>
  <c r="E20" i="4"/>
  <c r="C20" i="4"/>
  <c r="I19" i="4"/>
  <c r="C19" i="4"/>
  <c r="I18" i="4"/>
  <c r="E18" i="4"/>
  <c r="C18" i="4"/>
  <c r="I17" i="4"/>
  <c r="E17" i="4"/>
  <c r="C17" i="4"/>
  <c r="C14" i="4"/>
  <c r="C13" i="4"/>
  <c r="C12" i="4"/>
  <c r="C11" i="4"/>
  <c r="E8" i="4"/>
  <c r="D8" i="4"/>
  <c r="E7" i="4"/>
  <c r="D7" i="4"/>
  <c r="E6" i="4"/>
  <c r="D6" i="4"/>
  <c r="E5" i="4"/>
  <c r="D5" i="4"/>
  <c r="N2" i="4"/>
  <c r="M2" i="4"/>
  <c r="K2" i="4"/>
  <c r="J2" i="4"/>
  <c r="H2" i="4"/>
  <c r="C2" i="4"/>
  <c r="E19" i="4" s="1"/>
  <c r="A26" i="1"/>
  <c r="E23" i="2"/>
  <c r="D23" i="2"/>
  <c r="C23" i="2"/>
  <c r="B23" i="2"/>
  <c r="A23" i="2"/>
  <c r="I20" i="2"/>
  <c r="C20" i="2"/>
  <c r="I19" i="2"/>
  <c r="C19" i="2"/>
  <c r="I18" i="2"/>
  <c r="C18" i="2"/>
  <c r="I17" i="2"/>
  <c r="C17" i="2"/>
  <c r="C14" i="2"/>
  <c r="C13" i="2"/>
  <c r="C12" i="2"/>
  <c r="C11" i="2"/>
  <c r="E8" i="2"/>
  <c r="D8" i="2"/>
  <c r="E7" i="2"/>
  <c r="D7" i="2"/>
  <c r="E6" i="2"/>
  <c r="D6" i="2"/>
  <c r="E5" i="2"/>
  <c r="D5" i="2"/>
  <c r="H5" i="2" s="1"/>
  <c r="N2" i="2"/>
  <c r="M2" i="2"/>
  <c r="K2" i="2"/>
  <c r="J2" i="2"/>
  <c r="H2" i="2"/>
  <c r="C2" i="2"/>
  <c r="E26" i="1"/>
  <c r="B26" i="1"/>
  <c r="I23" i="1" a="1"/>
  <c r="E23" i="1"/>
  <c r="D23" i="1"/>
  <c r="C23" i="1"/>
  <c r="B23" i="1"/>
  <c r="A23" i="1"/>
  <c r="C20" i="1"/>
  <c r="C19" i="1"/>
  <c r="C18" i="1"/>
  <c r="C17" i="1"/>
  <c r="C14" i="1"/>
  <c r="C13" i="1"/>
  <c r="C12" i="1"/>
  <c r="C11" i="1"/>
  <c r="E8" i="1"/>
  <c r="D8" i="1"/>
  <c r="H8" i="1" s="1"/>
  <c r="E7" i="1"/>
  <c r="D7" i="1"/>
  <c r="H7" i="1" s="1"/>
  <c r="E6" i="1"/>
  <c r="D6" i="1"/>
  <c r="E5" i="1"/>
  <c r="D26" i="1" s="1"/>
  <c r="D5" i="1"/>
  <c r="H5" i="1" s="1"/>
  <c r="C2" i="1"/>
  <c r="K26" i="2" l="1"/>
  <c r="C26" i="2"/>
  <c r="K27" i="4"/>
  <c r="C27" i="4"/>
  <c r="C26" i="4"/>
  <c r="K26" i="4"/>
  <c r="H8" i="4"/>
  <c r="G8" i="4"/>
  <c r="H7" i="4"/>
  <c r="G7" i="4"/>
  <c r="G6" i="4"/>
  <c r="H6" i="4"/>
  <c r="D27" i="4"/>
  <c r="D26" i="4"/>
  <c r="H5" i="4"/>
  <c r="G5" i="4"/>
  <c r="G8" i="2"/>
  <c r="H8" i="2"/>
  <c r="H7" i="2"/>
  <c r="G7" i="2"/>
  <c r="H6" i="2"/>
  <c r="G6" i="2"/>
  <c r="E20" i="2"/>
  <c r="E19" i="2"/>
  <c r="K26" i="1"/>
  <c r="H6" i="1"/>
  <c r="G6" i="1"/>
  <c r="G5" i="2"/>
  <c r="G7" i="1"/>
  <c r="E17" i="1"/>
  <c r="E18" i="1"/>
  <c r="C26" i="1"/>
  <c r="G8" i="1"/>
  <c r="E19" i="1"/>
  <c r="E20" i="1"/>
  <c r="E17" i="2"/>
  <c r="G5" i="1"/>
  <c r="E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<sst xmlns="http://schemas.openxmlformats.org/spreadsheetml/2006/main" count="467" uniqueCount="132">
  <si>
    <t>site</t>
  </si>
  <si>
    <t>intf_prefix</t>
  </si>
  <si>
    <t>router-id</t>
  </si>
  <si>
    <t>brukernavn</t>
  </si>
  <si>
    <t>passord</t>
  </si>
  <si>
    <t>vty_lines</t>
  </si>
  <si>
    <t>secret</t>
  </si>
  <si>
    <t>ISP-VLAN</t>
  </si>
  <si>
    <t>tacacs_key</t>
  </si>
  <si>
    <t>DHCP</t>
  </si>
  <si>
    <t>dns_servers</t>
  </si>
  <si>
    <t>tacacs_server_ip</t>
  </si>
  <si>
    <t>syslog_server_ip</t>
  </si>
  <si>
    <t>urpf_mode</t>
  </si>
  <si>
    <t>radius_server_ip</t>
  </si>
  <si>
    <t>radius_key</t>
  </si>
  <si>
    <t>dmvpn_phase</t>
  </si>
  <si>
    <t>tacacs_syntax</t>
  </si>
  <si>
    <t>radius_syntax</t>
  </si>
  <si>
    <t>dot1x_syntax</t>
  </si>
  <si>
    <t>eigrp_syntax</t>
  </si>
  <si>
    <t>vrf_syntax</t>
  </si>
  <si>
    <t>ike_version</t>
  </si>
  <si>
    <t>secret_type</t>
  </si>
  <si>
    <t>trunk_encapsulation</t>
  </si>
  <si>
    <t>g0/</t>
  </si>
  <si>
    <t>admin</t>
  </si>
  <si>
    <t>$9$0nNdTjfcaOQFlP$4VgON16XmZXlfGr4BcOzEN7OoRxfPIAcXDQ0afwx67k</t>
  </si>
  <si>
    <t>TACACS-KEY</t>
  </si>
  <si>
    <t>10.1.10.10</t>
  </si>
  <si>
    <t>OFF</t>
  </si>
  <si>
    <t>RADIUS-KEY</t>
  </si>
  <si>
    <t>NEW</t>
  </si>
  <si>
    <t>AUTH</t>
  </si>
  <si>
    <t>NAMED</t>
  </si>
  <si>
    <t>OLD</t>
  </si>
  <si>
    <t>IKEV2</t>
  </si>
  <si>
    <t>AUTO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</si>
  <si>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</si>
  <si>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</si>
  <si>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</si>
  <si>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</si>
  <si>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</si>
  <si>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</si>
  <si>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</si>
  <si>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</si>
  <si>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</si>
  <si>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</si>
  <si>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</si>
  <si>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</si>
  <si>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255.255.255.0</t>
  </si>
  <si>
    <t>INET</t>
  </si>
  <si>
    <t>UNET</t>
  </si>
  <si>
    <t>PA</t>
  </si>
  <si>
    <t>MONITORING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</si>
  <si>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</si>
  <si>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</si>
  <si>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</si>
  <si>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</si>
  <si>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</si>
  <si>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</si>
  <si>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</si>
  <si>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</si>
  <si>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</si>
  <si>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</si>
  <si>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</si>
  <si>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</si>
  <si>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</si>
  <si>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</si>
  <si>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</si>
  <si>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etherchan_num</t>
  </si>
  <si>
    <t>span_mode</t>
  </si>
  <si>
    <t>dot1x_vlans</t>
  </si>
  <si>
    <t>20,30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</si>
  <si>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</si>
  <si>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</si>
  <si>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</si>
  <si>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</si>
  <si>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</si>
  <si>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</si>
  <si>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</si>
  <si>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</si>
  <si>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</si>
  <si>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DOT1Q_CMD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</si>
  <si>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</si>
  <si>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</si>
  <si>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</si>
  <si>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</si>
  <si>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</si>
  <si>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</si>
  <si>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</si>
  <si>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</si>
  <si>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</si>
  <si>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</si>
  <si>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</si>
  <si>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</si>
  <si>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kjente LAN-nett i VRF-en på tvers av sites. MGMT inkluderer også MGMT-loopbacks for administrasjon.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</si>
  <si>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</si>
  <si>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</si>
  <si>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</si>
  <si>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</si>
  <si>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</si>
  <si>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</si>
  <si>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</si>
  <si>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</si>
  <si>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</si>
  <si>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</si>
  <si>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</si>
  <si>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</si>
  <si>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</si>
  <si>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</si>
  <si>
    <t>RADIUS</t>
  </si>
  <si>
    <t>Destination=RADIUS kan brukes som symbolsk mål og slår opp radius_server_ip fra site-metadata.</t>
  </si>
  <si>
    <t>802.1X</t>
  </si>
  <si>
    <t xml:space="preserve">dot1x_vlans i switch-metadata styrer hvilke klient-VLAN som får 802.1X på accessportene. </t>
  </si>
  <si>
    <t>snmpv3_enabled</t>
  </si>
  <si>
    <t>snmp_server_ip</t>
  </si>
  <si>
    <t>snmp_user</t>
  </si>
  <si>
    <t>snmp_auth_password</t>
  </si>
  <si>
    <t>snmp_priv_password</t>
  </si>
  <si>
    <t>nmsuser</t>
  </si>
  <si>
    <t>SNMP-AUTH-KEY</t>
  </si>
  <si>
    <t>SNMP-PRIV-KEY</t>
  </si>
  <si>
    <t>200.1-20.5-30.5-40.5</t>
  </si>
  <si>
    <t>8.8.8.8,1.1.1.1</t>
  </si>
  <si>
    <t>SPAN</t>
  </si>
  <si>
    <t>0 - 15</t>
  </si>
  <si>
    <t>g1/0/</t>
  </si>
  <si>
    <t>20,30,40</t>
  </si>
  <si>
    <t>20.5-30.5-40.5</t>
  </si>
  <si>
    <t>20.2-30.2-40.2</t>
  </si>
  <si>
    <t>8.8.8.8, 1.1.1.1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</si>
</sst>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</font>
    <font>
      <b/>
      <sz val="10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EAD55"/>
      </patternFill>
    </fill>
    <fill>
      <patternFill patternType="solid">
        <fgColor theme="7"/>
      </patternFill>
    </fill>
    <fill>
      <patternFill patternType="solid">
        <fgColor rgb="FF2EAD55"/>
      </patternFill>
    </fill>
  </fills>
  <borders count="3">
    <border>
      <left/>
      <right/>
      <top/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1" fillId="0" borderId="0" xfId="0" applyFont="1"/>
    <xf numFmtId="0" fontId="12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3" fillId="0" borderId="0" xfId="0" applyFont="1"/>
    <xf numFmtId="0" fontId="14" fillId="2" borderId="0" xfId="0" applyFont="1" applyFill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 applyAlignment="1">
      <alignment horizontal="left" vertical="center"/>
    </xf>
    <xf numFmtId="0" fontId="14" fillId="0" borderId="0" xfId="0" applyFont="1"/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0" applyFont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0" fillId="0" borderId="0" xfId="0" applyAlignment="1">
      <alignment vertical="center"/>
    </xf>
    <xf numFmtId="0" fontId="14" fillId="5" borderId="1" xfId="0" applyFont="1" applyFill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 applyAlignment="1">
      <alignment vertical="center"/>
    </xf>
    <xf numFmtId="0" fontId="5" fillId="0" borderId="0" xfId="0" applyFont="1"/>
    <xf numFmtId="0" fontId="14" fillId="7" borderId="2" xfId="0" applyFont="1" applyFill="1" applyBorder="1"/>
    <xf numFmtId="0" fontId="1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wrapText="1"/>
    </xf>
    <xf numFmtId="0" fontId="19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0" xfId="0" applyFont="1" applyAlignment="1">
      <alignment wrapText="1"/>
    </xf>
    <xf numFmtId="0" fontId="5" fillId="0" borderId="0" xfId="0" applyFont="1" applyAlignment="1">
      <alignment horizontal="left" vertical="center"/>
    </xf>
    <xf numFmtId="0" fontId="10" fillId="0" borderId="0" xfId="0" applyFont="1"/>
  </cellXfs>
  <cellStyles count="1">
    <cellStyle name="Normal" xfId="0" builtinId="0"/>
  </cellStyles>
  <dxfs count="177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theme="1"/>
      </font>
      <numFmt numFmtId="0" formatCode="General"/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color theme="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AD2">
  <tableColumns count="3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76"/>
    <tableColumn id="25" xr3:uid="{00000000-0010-0000-0000-000019000000}" name="ISP-VLAN" dataDxfId="175"/>
    <tableColumn id="8" xr3:uid="{00000000-0010-0000-0000-000008000000}" name="tacacs_key" dataDxfId="174"/>
    <tableColumn id="9" xr3:uid="{00000000-0010-0000-0000-000009000000}" name="DHCP" dataDxfId="173"/>
    <tableColumn id="10" xr3:uid="{00000000-0010-0000-0000-00000A000000}" name="dns_servers" dataDxfId="172"/>
    <tableColumn id="11" xr3:uid="{00000000-0010-0000-0000-00000B000000}" name="tacacs_server_ip" dataDxfId="171"/>
    <tableColumn id="12" xr3:uid="{00000000-0010-0000-0000-00000C000000}" name="syslog_server_ip" dataDxfId="170"/>
    <tableColumn id="13" xr3:uid="{00000000-0010-0000-0000-00000D000000}" name="urpf_mode" dataDxfId="169"/>
    <tableColumn id="14" xr3:uid="{00000000-0010-0000-0000-00000E000000}" name="radius_server_ip" dataDxfId="168"/>
    <tableColumn id="15" xr3:uid="{00000000-0010-0000-0000-00000F000000}" name="radius_key" dataDxfId="167"/>
    <tableColumn id="16" xr3:uid="{00000000-0010-0000-0000-000010000000}" name="dmvpn_phase" dataDxfId="166"/>
    <tableColumn id="17" xr3:uid="{00000000-0010-0000-0000-000011000000}" name="tacacs_syntax" dataDxfId="165"/>
    <tableColumn id="18" xr3:uid="{00000000-0010-0000-0000-000012000000}" name="radius_syntax" dataDxfId="164"/>
    <tableColumn id="19" xr3:uid="{00000000-0010-0000-0000-000013000000}" name="dot1x_syntax" dataDxfId="163"/>
    <tableColumn id="20" xr3:uid="{00000000-0010-0000-0000-000014000000}" name="eigrp_syntax" dataDxfId="162"/>
    <tableColumn id="21" xr3:uid="{00000000-0010-0000-0000-000015000000}" name="vrf_syntax" dataDxfId="161"/>
    <tableColumn id="22" xr3:uid="{00000000-0010-0000-0000-000016000000}" name="ike_version" dataDxfId="160"/>
    <tableColumn id="23" xr3:uid="{00000000-0010-0000-0000-000017000000}" name="secret_type" dataDxfId="159"/>
    <tableColumn id="24" xr3:uid="{00000000-0010-0000-0000-000018000000}" name="trunk_encapsulation" dataDxfId="158"/>
    <tableColumn id="26" xr3:uid="{7A70CB3D-3E69-4511-AFC7-833193219BEB}" name="snmpv3_enabled" dataDxfId="157"/>
    <tableColumn id="27" xr3:uid="{209B66CE-CA9A-4100-AF1F-D365CF1FFE1D}" name="snmp_server_ip" dataDxfId="156"/>
    <tableColumn id="28" xr3:uid="{35546B6C-3A4D-4CB1-960A-7557AC2139AF}" name="snmp_user" dataDxfId="155"/>
    <tableColumn id="29" xr3:uid="{EEE156DA-8F56-4FDB-B5BD-E05593FB26D6}" name="snmp_auth_password" dataDxfId="154"/>
    <tableColumn id="30" xr3:uid="{C5D4501A-8EFA-4918-A4F1-64D389B519DA}" name="snmp_priv_password" dataDxfId="153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152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151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150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C14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20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149">
      <calculatedColumnFormula>172&amp;"."&amp;16&amp;"."&amp;$H17&amp;"."&amp;($A$2)</calculatedColumnFormula>
    </tableColumn>
    <tableColumn id="4" xr3:uid="{00000000-0010-0000-0300-000004000000}" name="mask"/>
    <tableColumn id="5" xr3:uid="{00000000-0010-0000-0300-000005000000}" name="source" dataDxfId="148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2:I23" dataDxfId="147">
  <tableColumns count="9">
    <tableColumn id="1" xr3:uid="{00000000-0010-0000-0400-000001000000}" name="site" dataDxfId="146">
      <calculatedColumnFormula>A2</calculatedColumnFormula>
    </tableColumn>
    <tableColumn id="2" xr3:uid="{00000000-0010-0000-0400-000002000000}" name="brukernavn" dataDxfId="145"/>
    <tableColumn id="4" xr3:uid="{00000000-0010-0000-0400-000004000000}" name="passord" dataDxfId="144"/>
    <tableColumn id="5" xr3:uid="{00000000-0010-0000-0400-000005000000}" name="vty_lines" dataDxfId="143"/>
    <tableColumn id="3" xr3:uid="{00000000-0010-0000-0400-000003000000}" name="secret" dataDxfId="142"/>
    <tableColumn id="6" xr3:uid="{00000000-0010-0000-0400-000006000000}" name="etherchan_num" dataDxfId="141"/>
    <tableColumn id="7" xr3:uid="{00000000-0010-0000-0400-000007000000}" name="span_mode" dataDxfId="140"/>
    <tableColumn id="8" xr3:uid="{00000000-0010-0000-0400-000008000000}" name="dot1x_vlans" dataDxfId="139"/>
    <tableColumn id="9" xr3:uid="{00000000-0010-0000-0400-000009000000}" name="ISP-VLAN" dataDxfId="138">
      <calculatedColumnFormula array="1">Tabell5[ISP-VLAN]</calculatedColumnFormula>
    </tableColumn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5:Q26" totalsRowShown="0">
  <tableColumns count="17">
    <tableColumn id="1" xr3:uid="{00000000-0010-0000-0500-000001000000}" name="SW" dataDxfId="137">
      <calculatedColumnFormula>ROW()-25</calculatedColumnFormula>
    </tableColumn>
    <tableColumn id="2" xr3:uid="{00000000-0010-0000-0500-000002000000}" name="MGMT Vlan" dataDxfId="136"/>
    <tableColumn id="3" xr3:uid="{00000000-0010-0000-0500-000003000000}" name="MGMT ip" dataDxfId="135">
      <calculatedColumnFormula>LEFT($G$5,LEN($G$5)-1)&amp;(RIGHT($G$5,1)+A26)</calculatedColumnFormula>
    </tableColumn>
    <tableColumn id="4" xr3:uid="{00000000-0010-0000-0500-000004000000}" name="gateway" dataDxfId="134">
      <calculatedColumnFormula>$E$5</calculatedColumnFormula>
    </tableColumn>
    <tableColumn id="5" xr3:uid="{00000000-0010-0000-0500-000005000000}" name="mask" dataDxfId="133">
      <calculatedColumnFormula>$F$5</calculatedColumnFormula>
    </tableColumn>
    <tableColumn id="10" xr3:uid="{00000000-0010-0000-0500-00000A000000}" name="num_ports_tot" dataDxfId="132"/>
    <tableColumn id="11" xr3:uid="{00000000-0010-0000-0500-00000B000000}" name="skiped_ports" dataDxfId="131"/>
    <tableColumn id="6" xr3:uid="{00000000-0010-0000-0500-000006000000}" name="num_downlink" dataDxfId="130"/>
    <tableColumn id="7" xr3:uid="{00000000-0010-0000-0500-000007000000}" name="vlan-antall" dataDxfId="129"/>
    <tableColumn id="8" xr3:uid="{00000000-0010-0000-0500-000008000000}" name="intf_prefix" dataDxfId="128"/>
    <tableColumn id="9" xr3:uid="{00000000-0010-0000-0500-000009000000}" name="num_port_ledig" dataDxfId="127">
      <calculatedColumnFormula>IF($A26=1,F26-G26-H26*$F$23-2-IF($L$2&lt;&gt;$M$2,1,0)-IF(OR(UPPER($G$23)="SPAN",UPPER($G$23)="ERSPAN",UPPER($G$23)="RSPAN"),1,0),F26-G26-(1+H26)*$F$23-1)</calculatedColumnFormula>
    </tableColumn>
    <tableColumn id="12" xr3:uid="{00000000-0010-0000-0500-00000C000000}" name="MONITORING ip" dataDxfId="126"/>
    <tableColumn id="13" xr3:uid="{00000000-0010-0000-0500-00000D000000}" name="tacacs_syntax"/>
    <tableColumn id="14" xr3:uid="{00000000-0010-0000-0500-00000E000000}" name="radius_syntax"/>
    <tableColumn id="15" xr3:uid="{00000000-0010-0000-0500-00000F000000}" name="dot1x_syntax"/>
    <tableColumn id="16" xr3:uid="{00000000-0010-0000-0500-000010000000}" name="secret_type"/>
    <tableColumn id="17" xr3:uid="{00000000-0010-0000-0500-000011000000}" name="trunk_encapsulation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BF1746-4E83-4B5C-8E47-1B33E5F0C823}" name="Tabell18" displayName="Tabell18" ref="A1:AA2" dataDxfId="76">
  <tableColumns count="27">
    <tableColumn id="1" xr3:uid="{F301071E-AB49-411D-B862-3D5F1A8652F4}" name="site" dataDxfId="75"/>
    <tableColumn id="2" xr3:uid="{28087ADC-D839-428A-B3B6-5D33053FC989}" name="intf_prefix" dataDxfId="74"/>
    <tableColumn id="3" xr3:uid="{E07A6BD4-5C25-4907-8DBF-B7CD7A55F1D8}" name="router-id" dataDxfId="73">
      <calculatedColumnFormula>A2&amp;"."&amp;A2&amp;"."&amp;A2&amp;".0"</calculatedColumnFormula>
    </tableColumn>
    <tableColumn id="4" xr3:uid="{E5D534F2-DADF-4E06-844E-EFC868A109BF}" name="brukernavn" dataDxfId="72"/>
    <tableColumn id="5" xr3:uid="{8E37AE50-BD24-4C9E-97D1-6B548927DBB7}" name="passord" dataDxfId="71"/>
    <tableColumn id="6" xr3:uid="{0A3407AA-8EBE-4074-85F9-778319C50E4E}" name="vty_lines" dataDxfId="70"/>
    <tableColumn id="7" xr3:uid="{0E482BA6-C79D-40DB-B45E-FDC671702D74}" name="secret" dataDxfId="69"/>
    <tableColumn id="8" xr3:uid="{C39694E5-0D09-45FB-A48D-8E9A8C91CA0E}" name="tacacs_key" dataDxfId="68">
      <calculatedColumnFormula>'Site 1 (HUB)'!I2</calculatedColumnFormula>
    </tableColumn>
    <tableColumn id="9" xr3:uid="{44EB3B31-5D13-48ED-A202-643DB3DE780D}" name="dns_servers" dataDxfId="67"/>
    <tableColumn id="10" xr3:uid="{97E12567-6CA3-4115-A196-2529D7160615}" name="tacacs_server_ip" dataDxfId="66">
      <calculatedColumnFormula>'Site 1 (HUB)'!L2</calculatedColumnFormula>
    </tableColumn>
    <tableColumn id="11" xr3:uid="{0346B8E5-A202-466C-AB4B-67EDD69B81A1}" name="syslog_server_ip" dataDxfId="65">
      <calculatedColumnFormula>'Site 1 (HUB)'!M2</calculatedColumnFormula>
    </tableColumn>
    <tableColumn id="12" xr3:uid="{EE86801E-B0D0-4B58-832A-86AC77A7EC9A}" name="urpf_mode" dataDxfId="64"/>
    <tableColumn id="14" xr3:uid="{5AAC65E5-8130-4C09-99B3-54C834DEE5C1}" name="radius_server_ip" dataDxfId="63">
      <calculatedColumnFormula>'Site 1 (HUB)'!O2</calculatedColumnFormula>
    </tableColumn>
    <tableColumn id="15" xr3:uid="{1C900422-8FD8-4B49-B19A-47F4CE877466}" name="radius_key" dataDxfId="62">
      <calculatedColumnFormula>'Site 1 (HUB)'!P2</calculatedColumnFormula>
    </tableColumn>
    <tableColumn id="13" xr3:uid="{AD662EC0-7940-4F3A-8F56-38E0BAEE7E2B}" name="tacacs_syntax" dataDxfId="61"/>
    <tableColumn id="16" xr3:uid="{103CB279-D718-4AF9-A977-B976A8B36356}" name="radius_syntax" dataDxfId="60"/>
    <tableColumn id="17" xr3:uid="{3496AD74-0539-4463-997F-A1CA64512F54}" name="dot1x_syntax" dataDxfId="59"/>
    <tableColumn id="18" xr3:uid="{F8B1DCD1-84B0-4090-BDAB-AD6FA5328F3C}" name="eigrp_syntax" dataDxfId="58"/>
    <tableColumn id="19" xr3:uid="{E8281F74-01EE-4CFD-8DF1-C429390E1E04}" name="vrf_syntax" dataDxfId="57"/>
    <tableColumn id="20" xr3:uid="{9FA158AF-3041-42DD-9BB3-CA83FCDE6CA1}" name="ike_version" dataDxfId="56"/>
    <tableColumn id="21" xr3:uid="{045B3C14-6117-44CA-9A5A-D8BA1860F47E}" name="secret_type" dataDxfId="55"/>
    <tableColumn id="22" xr3:uid="{3829C8E8-1959-4691-AF37-5B45456BC812}" name="trunk_encapsulation" dataDxfId="54"/>
    <tableColumn id="23" xr3:uid="{4CE3B16C-67F6-4DC2-9BB2-F8E09C5C8D74}" name="snmpv3_enabled" dataDxfId="53"/>
    <tableColumn id="24" xr3:uid="{7E57634C-C61D-454F-83A9-CCC1D7A3E9A7}" name="snmp_server_ip" dataDxfId="52"/>
    <tableColumn id="25" xr3:uid="{DA892339-1F60-44AE-B105-D466545319B6}" name="snmp_user" dataDxfId="51"/>
    <tableColumn id="26" xr3:uid="{10EE6F10-8503-4A58-9CA0-8FB438354050}" name="snmp_auth_password" dataDxfId="50"/>
    <tableColumn id="27" xr3:uid="{66121011-59AB-4D41-BDF5-22B7624358BE}" name="snmp_priv_password" dataDxfId="49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99B9E14-0F60-413C-83C8-281F7E727FAD}" name="Tabell49" displayName="Tabell49" ref="A16:J20" dataDxfId="48">
  <tableColumns count="10">
    <tableColumn id="1" xr3:uid="{C939C381-1121-4153-B4EA-3E9AC4EFD622}" name="tunnel id" dataDxfId="47"/>
    <tableColumn id="2" xr3:uid="{402267D7-3F42-4106-963C-A00D2C73C6A3}" name="vrf" dataDxfId="46"/>
    <tableColumn id="3" xr3:uid="{4204F352-886B-4432-BF55-0DB72CCEC230}" name="ip address" dataDxfId="45">
      <calculatedColumnFormula>172&amp;"."&amp;16&amp;"."&amp;H17&amp;"."&amp;$A$2</calculatedColumnFormula>
    </tableColumn>
    <tableColumn id="4" xr3:uid="{E652E851-68C8-44CC-A804-D4A898A26E6B}" name="mask" dataDxfId="44"/>
    <tableColumn id="5" xr3:uid="{1B6660E8-062A-4243-A879-B9BBE79D61B2}" name="source" dataDxfId="43">
      <calculatedColumnFormula>$C$2</calculatedColumnFormula>
    </tableColumn>
    <tableColumn id="6" xr3:uid="{31E83213-6808-4B06-B3A2-334B8AEA93A6}" name="destination" dataDxfId="42"/>
    <tableColumn id="7" xr3:uid="{548BE719-FE15-47C2-BD8C-E15155610E6F}" name="gre mode" dataDxfId="41"/>
    <tableColumn id="8" xr3:uid="{AC2699E3-BB2E-4992-9A64-D04428D784DC}" name="network-id" dataDxfId="40"/>
    <tableColumn id="9" xr3:uid="{911A5F49-374E-494E-9F87-E559E2AEA74A}" name="ipsec" dataDxfId="39">
      <calculatedColumnFormula>'Site 1 (HUB)'!I17</calculatedColumnFormula>
    </tableColumn>
    <tableColumn id="10" xr3:uid="{F9EF835F-35E0-4DBE-9B12-F79414F650B4}" name="ipsec key" dataDxfId="38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31B441-D218-45B2-B01A-A4BBC8BD7979}" name="Tabell1319253010" displayName="Tabell1319253010" ref="A22:H23" dataDxfId="37">
  <tableColumns count="8">
    <tableColumn id="1" xr3:uid="{F434D49E-3876-49A2-911F-716DB0E46944}" name="site" dataDxfId="36">
      <calculatedColumnFormula>$A$2</calculatedColumnFormula>
    </tableColumn>
    <tableColumn id="4" xr3:uid="{96C6D5FD-CBC3-49D8-AFD4-9E1E09633C5A}" name="brukernavn" dataDxfId="35">
      <calculatedColumnFormula>$D$2</calculatedColumnFormula>
    </tableColumn>
    <tableColumn id="5" xr3:uid="{038EE345-4494-4999-88D7-0BF36304D24C}" name="passord" dataDxfId="34">
      <calculatedColumnFormula>$E$2</calculatedColumnFormula>
    </tableColumn>
    <tableColumn id="3" xr3:uid="{770D33D1-BE1F-45C0-8F6C-2E9C2A15365F}" name="vty_lines" dataDxfId="33">
      <calculatedColumnFormula>$F$2</calculatedColumnFormula>
    </tableColumn>
    <tableColumn id="2" xr3:uid="{87FFB71D-3185-4317-BD65-911279FF4E36}" name="secret" dataDxfId="32">
      <calculatedColumnFormula>$G$2</calculatedColumnFormula>
    </tableColumn>
    <tableColumn id="6" xr3:uid="{13F65231-00AD-4279-9566-BCCC6B905C94}" name="etherchan_num" dataDxfId="31"/>
    <tableColumn id="7" xr3:uid="{32F614C6-376B-4371-8715-7B2614BB4DBC}" name="span_mode" dataDxfId="30"/>
    <tableColumn id="8" xr3:uid="{70D4C587-3B90-40C4-BB6C-9CC884BED451}" name="dot1x_vlans" dataDxfId="29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32D18C4-0B05-425E-B28E-67E8EEF86C01}" name="Tabell16182428253212" displayName="Tabell16182428253212" ref="A25:Q27" totalsRowShown="0">
  <tableColumns count="17">
    <tableColumn id="1" xr3:uid="{3D2619F9-8A27-48B4-BBAD-F8DAD24B7058}" name="SW" dataDxfId="28">
      <calculatedColumnFormula>ROW()-25</calculatedColumnFormula>
    </tableColumn>
    <tableColumn id="2" xr3:uid="{79D48293-3CC1-4FC8-B959-C76EC31AF05A}" name="MGMT Vlan" dataDxfId="27">
      <calculatedColumnFormula>$B$5</calculatedColumnFormula>
    </tableColumn>
    <tableColumn id="3" xr3:uid="{636012CC-2311-45D4-B0A3-CBE1DDB288EA}" name="MGMT ip" dataDxfId="26">
      <calculatedColumnFormula>10&amp;"."&amp;$A$2&amp;"."&amp;$B$5&amp;"."&amp;(A26+1)</calculatedColumnFormula>
    </tableColumn>
    <tableColumn id="4" xr3:uid="{57B036DD-2EC2-46AB-BA82-15C2E4251EE3}" name="gateway" dataDxfId="25">
      <calculatedColumnFormula>$E$5</calculatedColumnFormula>
    </tableColumn>
    <tableColumn id="5" xr3:uid="{6D16308A-64E5-4F82-9997-B8BD8FE03B86}" name="mask" dataDxfId="24">
      <calculatedColumnFormula>$F$5</calculatedColumnFormula>
    </tableColumn>
    <tableColumn id="10" xr3:uid="{10263F16-185C-4388-8A92-6BC4CA0E07C5}" name="num_ports_tot" dataDxfId="23"/>
    <tableColumn id="11" xr3:uid="{337036FB-EC4A-4A8B-A2D4-886EF58ACF98}" name="skiped_ports" dataDxfId="22"/>
    <tableColumn id="6" xr3:uid="{75ED65B8-97AC-498A-9CF3-0A234BF7E9F1}" name="num_downlink" dataDxfId="21"/>
    <tableColumn id="7" xr3:uid="{D2EB23FE-1E37-4D17-B4EC-11CAC9B6F0DC}" name="vlan-antall" dataDxfId="20"/>
    <tableColumn id="8" xr3:uid="{0815D94A-1C82-4867-98BC-98ABBA28ECDE}" name="intf_prefix" dataDxfId="19"/>
    <tableColumn id="9" xr3:uid="{CDF41783-F241-44AB-837D-97EDFE6911D4}" name="num_port_ledig" dataDxfId="18">
      <calculatedColumnFormula>IF($A26=1,F26-G26-H26*$F$23-2-IF(OR(UPPER($G$23)="SPAN",UPPER($G$23)="RSPAN"),1,0),F26-G26-(1+H26)*$F$23-1)</calculatedColumnFormula>
    </tableColumn>
    <tableColumn id="12" xr3:uid="{AACD1EB8-91AF-4962-8481-F05F6073247E}" name="MONITORING ip"/>
    <tableColumn id="13" xr3:uid="{7E243D0A-E644-41FD-A148-B1875C00196D}" name="tacacs_syntax"/>
    <tableColumn id="14" xr3:uid="{DBC0EF9C-754A-4F1A-AD0C-3A999D538347}" name="radius_syntax"/>
    <tableColumn id="15" xr3:uid="{73F5C42E-D3FF-4AEB-8766-FB4C6E26C2E1}" name="dot1x_syntax"/>
    <tableColumn id="16" xr3:uid="{3DF3E91F-29DF-42B7-8BE4-9457278406A4}" name="secret_type"/>
    <tableColumn id="17" xr3:uid="{2CFEA8EA-3D50-4B84-A069-434F906C1876}" name="trunk_encapsulation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E17A8-D111-4A2F-8101-D45B05AD0BB5}" name="Tabell6214" displayName="Tabell6214" ref="A4:K8">
  <tableColumns count="11">
    <tableColumn id="1" xr3:uid="{CC1AA328-A218-4F84-A0AF-9F021BDC546B}" name="vrf"/>
    <tableColumn id="2" xr3:uid="{B69DA7F6-D441-4D1F-9BD5-0FFD34DC7968}" name="vlan"/>
    <tableColumn id="3" xr3:uid="{F6DCB80F-2B53-40DA-A53C-9EEF0E850482}" name="interface"/>
    <tableColumn id="4" xr3:uid="{8DBFFE92-3B45-4122-819E-272FF8FEED1E}" name="nett id">
      <calculatedColumnFormula>10&amp;"."&amp;$A$2&amp;"."&amp;B5&amp;".0"</calculatedColumnFormula>
    </tableColumn>
    <tableColumn id="5" xr3:uid="{1A76ECB4-477D-43BD-933D-CA839E86FEE1}" name="gateway">
      <calculatedColumnFormula>10&amp;"."&amp;$A$2&amp;"."&amp;B5&amp;".1"</calculatedColumnFormula>
    </tableColumn>
    <tableColumn id="6" xr3:uid="{643E4998-713D-4F39-993A-B5B110F8184B}" name="mask"/>
    <tableColumn id="7" xr3:uid="{9403EEA1-4392-41BF-9502-87C3A1CF28BE}" name="address min">
      <calculatedColumnFormula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calculatedColumnFormula>
    </tableColumn>
    <tableColumn id="8" xr3:uid="{09FF5408-B542-4803-BB81-19C6D96455ED}" name="address max">
      <calculatedColumnFormula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calculatedColumnFormula>
    </tableColumn>
    <tableColumn id="9" xr3:uid="{1C2CE40E-C587-4306-B04C-05E7E830B912}" name="antall-res" dataDxfId="17"/>
    <tableColumn id="10" xr3:uid="{062A0975-F29C-4725-993D-1C745C38968F}" name="pri-afxx"/>
    <tableColumn id="11" xr3:uid="{E9F272DB-833F-4003-8FE1-C3489DCBD223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249B9-B569-4AB4-A5F4-44E14EC73E12}" name="Tabell7715" displayName="Tabell7715" ref="A10:C14">
  <tableColumns count="3">
    <tableColumn id="1" xr3:uid="{3A3EB178-6BB6-4F25-BFF2-BC4D427D60C7}" name="vrf"/>
    <tableColumn id="3" xr3:uid="{00063F96-3CCE-4FBF-AEA1-0FEA482EE82B}" name="loopback"/>
    <tableColumn id="4" xr3:uid="{068346AF-14A6-4C4B-94E5-C3159DB837E3}" name="laddr">
      <calculatedColumnFormula>$A$2&amp;"."&amp;$A$2&amp;"."&amp;$A$2&amp;"."&amp;B11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AA2" dataDxfId="125">
  <tableColumns count="27">
    <tableColumn id="1" xr3:uid="{00000000-0010-0000-0600-000001000000}" name="site" dataDxfId="124"/>
    <tableColumn id="2" xr3:uid="{00000000-0010-0000-0600-000002000000}" name="intf_prefix" dataDxfId="123"/>
    <tableColumn id="3" xr3:uid="{00000000-0010-0000-0600-000003000000}" name="router-id" dataDxfId="122"/>
    <tableColumn id="4" xr3:uid="{00000000-0010-0000-0600-000004000000}" name="brukernavn" dataDxfId="121"/>
    <tableColumn id="5" xr3:uid="{00000000-0010-0000-0600-000005000000}" name="passord" dataDxfId="120"/>
    <tableColumn id="6" xr3:uid="{00000000-0010-0000-0600-000006000000}" name="vty_lines" dataDxfId="119"/>
    <tableColumn id="7" xr3:uid="{00000000-0010-0000-0600-000007000000}" name="secret" dataDxfId="118"/>
    <tableColumn id="8" xr3:uid="{00000000-0010-0000-0600-000008000000}" name="tacacs_key" dataDxfId="117">
      <calculatedColumnFormula>'Site 1 (HUB)'!I2</calculatedColumnFormula>
    </tableColumn>
    <tableColumn id="9" xr3:uid="{00000000-0010-0000-0600-000009000000}" name="dns_servers" dataDxfId="116"/>
    <tableColumn id="10" xr3:uid="{00000000-0010-0000-0600-00000A000000}" name="tacacs_server_ip" dataDxfId="115">
      <calculatedColumnFormula>'Site 1 (HUB)'!L2</calculatedColumnFormula>
    </tableColumn>
    <tableColumn id="11" xr3:uid="{00000000-0010-0000-0600-00000B000000}" name="syslog_server_ip" dataDxfId="114">
      <calculatedColumnFormula>'Site 1 (HUB)'!M2</calculatedColumnFormula>
    </tableColumn>
    <tableColumn id="12" xr3:uid="{00000000-0010-0000-0600-00000C000000}" name="urpf_mode" dataDxfId="113"/>
    <tableColumn id="14" xr3:uid="{00000000-0010-0000-0600-00000E000000}" name="radius_server_ip" dataDxfId="112"/>
    <tableColumn id="15" xr3:uid="{00000000-0010-0000-0600-00000F000000}" name="radius_key" dataDxfId="111"/>
    <tableColumn id="13" xr3:uid="{00000000-0010-0000-0600-00000D000000}" name="tacacs_syntax" dataDxfId="110"/>
    <tableColumn id="16" xr3:uid="{00000000-0010-0000-0600-000010000000}" name="radius_syntax" dataDxfId="109"/>
    <tableColumn id="17" xr3:uid="{00000000-0010-0000-0600-000011000000}" name="dot1x_syntax" dataDxfId="108"/>
    <tableColumn id="18" xr3:uid="{00000000-0010-0000-0600-000012000000}" name="eigrp_syntax" dataDxfId="107"/>
    <tableColumn id="19" xr3:uid="{00000000-0010-0000-0600-000013000000}" name="vrf_syntax" dataDxfId="106"/>
    <tableColumn id="20" xr3:uid="{00000000-0010-0000-0600-000014000000}" name="ike_version" dataDxfId="105"/>
    <tableColumn id="21" xr3:uid="{00000000-0010-0000-0600-000015000000}" name="secret_type" dataDxfId="104"/>
    <tableColumn id="22" xr3:uid="{00000000-0010-0000-0600-000016000000}" name="trunk_encapsulation" dataDxfId="103"/>
    <tableColumn id="23" xr3:uid="{96BFD35F-5B86-4563-AD71-9BEE692F259E}" name="snmpv3_enabled" dataDxfId="102"/>
    <tableColumn id="24" xr3:uid="{B32071E9-38D7-497D-8D05-9C277245ED7D}" name="snmp_server_ip" dataDxfId="101"/>
    <tableColumn id="25" xr3:uid="{A51FD30E-2A50-4B3C-B10C-DC9965677024}" name="snmp_user" dataDxfId="100"/>
    <tableColumn id="26" xr3:uid="{E35869A0-05B2-4390-88E0-3DB67D32BD41}" name="snmp_auth_password" dataDxfId="99"/>
    <tableColumn id="27" xr3:uid="{962D48F4-6B6F-4976-A32F-AFCF203A4E6E}" name="snmp_priv_password" dataDxfId="98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6:J20" dataDxfId="97">
  <tableColumns count="10">
    <tableColumn id="1" xr3:uid="{00000000-0010-0000-0700-000001000000}" name="tunnel id" dataDxfId="96"/>
    <tableColumn id="2" xr3:uid="{00000000-0010-0000-0700-000002000000}" name="vrf" dataDxfId="95"/>
    <tableColumn id="3" xr3:uid="{00000000-0010-0000-0700-000003000000}" name="ip address" dataDxfId="94">
      <calculatedColumnFormula>172&amp;"."&amp;16&amp;"."&amp;0&amp;"."&amp;(H17+$A$2)</calculatedColumnFormula>
    </tableColumn>
    <tableColumn id="4" xr3:uid="{00000000-0010-0000-0700-000004000000}" name="mask" dataDxfId="93"/>
    <tableColumn id="5" xr3:uid="{00000000-0010-0000-0700-000005000000}" name="source" dataDxfId="92">
      <calculatedColumnFormula>$C$2</calculatedColumnFormula>
    </tableColumn>
    <tableColumn id="6" xr3:uid="{00000000-0010-0000-0700-000006000000}" name="destination" dataDxfId="91"/>
    <tableColumn id="7" xr3:uid="{00000000-0010-0000-0700-000007000000}" name="gre mode" dataDxfId="90"/>
    <tableColumn id="8" xr3:uid="{00000000-0010-0000-0700-000008000000}" name="network-id" dataDxfId="89"/>
    <tableColumn id="9" xr3:uid="{00000000-0010-0000-0700-000009000000}" name="ipsec" dataDxfId="88"/>
    <tableColumn id="10" xr3:uid="{00000000-0010-0000-0700-00000A000000}" name="ipsec key" dataDxfId="87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8000000}" name="Tabell13192530" displayName="Tabell13192530" ref="A22:H23" dataDxfId="86">
  <tableColumns count="8">
    <tableColumn id="1" xr3:uid="{00000000-0010-0000-0800-000001000000}" name="site" dataDxfId="85">
      <calculatedColumnFormula>A2</calculatedColumnFormula>
    </tableColumn>
    <tableColumn id="4" xr3:uid="{00000000-0010-0000-0800-000004000000}" name="brukernavn" dataDxfId="84"/>
    <tableColumn id="5" xr3:uid="{00000000-0010-0000-0800-000005000000}" name="passord" dataDxfId="83"/>
    <tableColumn id="3" xr3:uid="{00000000-0010-0000-0800-000003000000}" name="vty_lines" dataDxfId="82"/>
    <tableColumn id="2" xr3:uid="{00000000-0010-0000-0800-000002000000}" name="secret" dataDxfId="81"/>
    <tableColumn id="6" xr3:uid="{00000000-0010-0000-0800-000006000000}" name="etherchan_num" dataDxfId="80"/>
    <tableColumn id="7" xr3:uid="{00000000-0010-0000-0800-000007000000}" name="span_mode" dataDxfId="79"/>
    <tableColumn id="8" xr3:uid="{00000000-0010-0000-0800-000008000000}" name="dot1x_vlans" dataDxfId="78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Tabell161824282532" displayName="Tabell161824282532" ref="A25:Q26" totalsRowShown="0" dataDxfId="0">
  <tableColumns count="17">
    <tableColumn id="1" xr3:uid="{00000000-0010-0000-0900-000001000000}" name="SW" dataDxfId="16">
      <calculatedColumnFormula>ROW()-25</calculatedColumnFormula>
    </tableColumn>
    <tableColumn id="2" xr3:uid="{00000000-0010-0000-0900-000002000000}" name="MGMT Vlan" dataDxfId="15">
      <calculatedColumnFormula>$B$5</calculatedColumnFormula>
    </tableColumn>
    <tableColumn id="3" xr3:uid="{00000000-0010-0000-0900-000003000000}" name="MGMT ip" dataDxfId="14">
      <calculatedColumnFormula>10&amp;"."&amp;$A$2&amp;"."&amp;$B$5&amp;"."&amp;(A26+1)</calculatedColumnFormula>
    </tableColumn>
    <tableColumn id="4" xr3:uid="{00000000-0010-0000-0900-000004000000}" name="gateway" dataDxfId="13">
      <calculatedColumnFormula>$E$5</calculatedColumnFormula>
    </tableColumn>
    <tableColumn id="5" xr3:uid="{00000000-0010-0000-0900-000005000000}" name="mask" dataDxfId="12">
      <calculatedColumnFormula>$F$5</calculatedColumnFormula>
    </tableColumn>
    <tableColumn id="10" xr3:uid="{00000000-0010-0000-0900-00000A000000}" name="num_ports_tot" dataDxfId="11"/>
    <tableColumn id="11" xr3:uid="{00000000-0010-0000-0900-00000B000000}" name="skiped_ports" dataDxfId="10"/>
    <tableColumn id="6" xr3:uid="{00000000-0010-0000-0900-000006000000}" name="num_downlink" dataDxfId="9"/>
    <tableColumn id="7" xr3:uid="{00000000-0010-0000-0900-000007000000}" name="vlan-antall" dataDxfId="8"/>
    <tableColumn id="8" xr3:uid="{00000000-0010-0000-0900-000008000000}" name="intf_prefix" dataDxfId="7"/>
    <tableColumn id="9" xr3:uid="{00000000-0010-0000-0900-000009000000}" name="num_port_ledig" dataDxfId="6">
      <calculatedColumnFormula>IF($A26=1,F26-G26-H26*$F$23-2-IF(OR(UPPER($G$23)="SPAN",UPPER($G$23)="RSPAN"),1,0),F26-G26-(1+H26)*$F$23-1)</calculatedColumnFormula>
    </tableColumn>
    <tableColumn id="12" xr3:uid="{00000000-0010-0000-0900-00000C000000}" name="MONITORING ip"/>
    <tableColumn id="13" xr3:uid="{00000000-0010-0000-0900-00000D000000}" name="tacacs_syntax" dataDxfId="5"/>
    <tableColumn id="14" xr3:uid="{00000000-0010-0000-0900-00000E000000}" name="radius_syntax" dataDxfId="4"/>
    <tableColumn id="15" xr3:uid="{00000000-0010-0000-0900-00000F000000}" name="dot1x_syntax" dataDxfId="3"/>
    <tableColumn id="16" xr3:uid="{00000000-0010-0000-0900-000010000000}" name="secret_type" dataDxfId="2"/>
    <tableColumn id="17" xr3:uid="{00000000-0010-0000-0900-000011000000}" name="trunk_encapsulation" dataDxfId="1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abell62" displayName="Tabell62" ref="A4:K8">
  <tableColumns count="11">
    <tableColumn id="1" xr3:uid="{00000000-0010-0000-0A00-000001000000}" name="vrf"/>
    <tableColumn id="2" xr3:uid="{00000000-0010-0000-0A00-000002000000}" name="vlan"/>
    <tableColumn id="3" xr3:uid="{00000000-0010-0000-0A00-000003000000}" name="interface"/>
    <tableColumn id="4" xr3:uid="{00000000-0010-0000-0A00-000004000000}" name="nett id">
      <calculatedColumnFormula>10&amp;"."&amp;(B5+$A$2)&amp;"."&amp;0&amp;"."&amp;0</calculatedColumnFormula>
    </tableColumn>
    <tableColumn id="5" xr3:uid="{00000000-0010-0000-0A00-000005000000}" name="gateway">
      <calculatedColumnFormula>LEFT(D5,LEN(D5)-1)&amp;"1"</calculatedColumnFormula>
    </tableColumn>
    <tableColumn id="6" xr3:uid="{00000000-0010-0000-0A00-000006000000}" name="mask"/>
    <tableColumn id="7" xr3:uid="{00000000-0010-0000-0A00-000007000000}" name="address min">
      <calculatedColumnFormula>LEFT(D5,LEN(D5)-1)&amp;"1"</calculatedColumnFormula>
    </tableColumn>
    <tableColumn id="8" xr3:uid="{00000000-0010-0000-0A00-000008000000}" name="address max"/>
    <tableColumn id="9" xr3:uid="{00000000-0010-0000-0A00-000009000000}" name="antall-res" dataDxfId="77"/>
    <tableColumn id="10" xr3:uid="{00000000-0010-0000-0A00-00000A000000}" name="pri-afxx"/>
    <tableColumn id="11" xr3:uid="{00000000-0010-0000-0A00-00000B000000}" name="pri-1-10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B000000}" name="Tabell77" displayName="Tabell77" ref="A10:C14">
  <tableColumns count="3">
    <tableColumn id="1" xr3:uid="{00000000-0010-0000-0B00-000001000000}" name="vrf"/>
    <tableColumn id="3" xr3:uid="{00000000-0010-0000-0B00-000003000000}" name="loopback"/>
    <tableColumn id="4" xr3:uid="{00000000-0010-0000-0B00-000004000000}" name="laddr">
      <calculatedColumnFormula>$A$2&amp;"."&amp;$A$2&amp;"."&amp;$A$2&amp;"."&amp;(B11)</calculatedColumnFormula>
    </tableColumn>
  </tableColumns>
  <tableStyleInfo name="TableStyleLight1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3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1"/>
  <sheetViews>
    <sheetView zoomScale="58" workbookViewId="0">
      <selection activeCell="AC12" sqref="AC12"/>
    </sheetView>
  </sheetViews>
  <sheetFormatPr defaultColWidth="12.5546875" defaultRowHeight="13.2" x14ac:dyDescent="0.25"/>
  <cols>
    <col min="1" max="1" width="16.33203125" customWidth="1"/>
    <col min="2" max="2" width="15.33203125" customWidth="1"/>
    <col min="3" max="3" width="66" customWidth="1"/>
    <col min="4" max="4" width="12.33203125" customWidth="1"/>
    <col min="5" max="5" width="66" customWidth="1"/>
    <col min="6" max="6" width="15.88671875" customWidth="1"/>
    <col min="7" max="7" width="66" customWidth="1"/>
    <col min="8" max="8" width="22" customWidth="1"/>
    <col min="9" max="9" width="25.5546875" customWidth="1"/>
    <col min="10" max="10" width="13.88671875" bestFit="1" customWidth="1"/>
    <col min="11" max="11" width="20.44140625" bestFit="1" customWidth="1"/>
    <col min="12" max="24" width="18" customWidth="1"/>
    <col min="26" max="26" width="16.44140625" bestFit="1" customWidth="1"/>
    <col min="27" max="27" width="15.33203125" bestFit="1" customWidth="1"/>
    <col min="28" max="28" width="10.6640625" bestFit="1" customWidth="1"/>
    <col min="29" max="29" width="20.6640625" bestFit="1" customWidth="1"/>
    <col min="30" max="30" width="20.109375" bestFit="1" customWidth="1"/>
  </cols>
  <sheetData>
    <row r="1" spans="1:30" ht="27.9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1" t="s">
        <v>11</v>
      </c>
      <c r="M1" s="21" t="s">
        <v>12</v>
      </c>
      <c r="N1" s="22" t="s">
        <v>13</v>
      </c>
      <c r="O1" s="21" t="s">
        <v>14</v>
      </c>
      <c r="P1" s="21" t="s">
        <v>15</v>
      </c>
      <c r="Q1" s="21" t="s">
        <v>16</v>
      </c>
      <c r="R1" s="32" t="s">
        <v>17</v>
      </c>
      <c r="S1" s="32" t="s">
        <v>18</v>
      </c>
      <c r="T1" s="32" t="s">
        <v>19</v>
      </c>
      <c r="U1" s="32" t="s">
        <v>20</v>
      </c>
      <c r="V1" s="32" t="s">
        <v>21</v>
      </c>
      <c r="W1" s="32" t="s">
        <v>22</v>
      </c>
      <c r="X1" s="32" t="s">
        <v>23</v>
      </c>
      <c r="Y1" s="32" t="s">
        <v>24</v>
      </c>
      <c r="Z1" s="36" t="s">
        <v>115</v>
      </c>
      <c r="AA1" s="36" t="s">
        <v>116</v>
      </c>
      <c r="AB1" s="36" t="s">
        <v>117</v>
      </c>
      <c r="AC1" s="36" t="s">
        <v>118</v>
      </c>
      <c r="AD1" s="36" t="s">
        <v>119</v>
      </c>
    </row>
    <row r="2" spans="1:30" ht="15.75" customHeight="1" x14ac:dyDescent="0.25">
      <c r="A2" s="2">
        <v>1</v>
      </c>
      <c r="B2" s="2" t="s">
        <v>25</v>
      </c>
      <c r="C2" s="2" t="str">
        <f>A2&amp;"."&amp;A2&amp;"."&amp;A2&amp;".0"</f>
        <v>1.1.1.0</v>
      </c>
      <c r="D2" s="2" t="s">
        <v>26</v>
      </c>
      <c r="E2" s="2" t="s">
        <v>27</v>
      </c>
      <c r="F2" s="2" t="s">
        <v>126</v>
      </c>
      <c r="G2" s="2" t="s">
        <v>27</v>
      </c>
      <c r="H2" s="35">
        <v>200</v>
      </c>
      <c r="I2" s="2" t="s">
        <v>28</v>
      </c>
      <c r="J2" s="28" t="b">
        <v>1</v>
      </c>
      <c r="K2" s="2" t="s">
        <v>124</v>
      </c>
      <c r="L2" s="19" t="s">
        <v>29</v>
      </c>
      <c r="M2" s="19" t="s">
        <v>29</v>
      </c>
      <c r="N2" s="19" t="s">
        <v>30</v>
      </c>
      <c r="O2" s="19" t="s">
        <v>29</v>
      </c>
      <c r="P2" s="19" t="s">
        <v>31</v>
      </c>
      <c r="Q2" s="19">
        <v>3</v>
      </c>
      <c r="R2" s="2" t="s">
        <v>32</v>
      </c>
      <c r="S2" s="2" t="s">
        <v>32</v>
      </c>
      <c r="T2" s="2" t="s">
        <v>33</v>
      </c>
      <c r="U2" s="2" t="s">
        <v>34</v>
      </c>
      <c r="V2" s="2" t="s">
        <v>35</v>
      </c>
      <c r="W2" s="2" t="s">
        <v>36</v>
      </c>
      <c r="X2" s="2" t="s">
        <v>37</v>
      </c>
      <c r="Y2" s="2" t="s">
        <v>37</v>
      </c>
      <c r="Z2" s="37" t="b">
        <v>1</v>
      </c>
      <c r="AA2" s="38" t="s">
        <v>29</v>
      </c>
      <c r="AB2" s="38" t="s">
        <v>120</v>
      </c>
      <c r="AC2" s="38" t="s">
        <v>121</v>
      </c>
      <c r="AD2" s="38" t="s">
        <v>122</v>
      </c>
    </row>
    <row r="3" spans="1:30" ht="15.75" customHeight="1" x14ac:dyDescent="0.25">
      <c r="A3" s="4"/>
      <c r="B3" s="5"/>
      <c r="C3" s="4"/>
      <c r="D3" s="4"/>
      <c r="E3" s="4"/>
      <c r="F3" s="4"/>
      <c r="G3" s="4"/>
      <c r="H3" s="4"/>
      <c r="J3" s="25"/>
      <c r="K3" s="25"/>
    </row>
    <row r="4" spans="1:30" ht="15.7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6" t="s">
        <v>46</v>
      </c>
      <c r="J4" s="27" t="s">
        <v>47</v>
      </c>
      <c r="K4" s="27" t="s">
        <v>48</v>
      </c>
    </row>
    <row r="5" spans="1:30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10.1.10.0</v>
      </c>
      <c r="E5" s="7" t="str">
        <f>10&amp;"."&amp;$A$2&amp;"."&amp;B5&amp;".1"</f>
        <v>10.1.10.1</v>
      </c>
      <c r="F5" s="7" t="s">
        <v>50</v>
      </c>
      <c r="G5" s="7" t="str" cm="1">
        <f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10.1.10.1</v>
      </c>
      <c r="H5" s="7" t="str" cm="1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10.1.10.254</v>
      </c>
      <c r="I5" s="7">
        <v>40</v>
      </c>
      <c r="J5" s="9">
        <v>21</v>
      </c>
      <c r="K5" s="9">
        <v>5</v>
      </c>
    </row>
    <row r="6" spans="1:30" ht="15.75" customHeight="1" x14ac:dyDescent="0.25">
      <c r="A6" s="7" t="s">
        <v>51</v>
      </c>
      <c r="B6" s="8">
        <v>20</v>
      </c>
      <c r="C6" s="7">
        <v>0</v>
      </c>
      <c r="D6" s="7" t="str">
        <f>10&amp;"."&amp;$A$2&amp;"."&amp;B6&amp;".0"</f>
        <v>10.1.20.0</v>
      </c>
      <c r="E6" s="7" t="str">
        <f t="shared" ref="E6:E7" si="0">10&amp;"."&amp;$A$2&amp;"."&amp;B6&amp;".1"</f>
        <v>10.1.20.1</v>
      </c>
      <c r="F6" s="7" t="s">
        <v>50</v>
      </c>
      <c r="G6" s="7" t="str">
        <f t="shared" ref="G6:G7" si="1">VALUE(LEFT(D6,FIND(".",D6)-1))&amp;"."&amp;VALUE(MID(D6,FIND(".",D6)+1,FIND(".",D6,FIND(".",D6)+1)-FIND(".",D6)-1))&amp;"."&amp;VALUE(MID(D6,FIND(".",D6,FIND(".",D6)+1)+1,FIND(".",D6,FIND(".",D6,FIND(".",D6)+1)+1)-FIND(".",D6,FIND(".",D6)+1)-1))&amp;"."&amp;(VALUE(RIGHT(D6,LEN(D6)-FIND(".",D6,FIND(".",D6,FIND(".",D6)+1)+1)))+1)</f>
        <v>10.1.20.1</v>
      </c>
      <c r="H6" s="7" t="str" cm="1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10.1.20.254</v>
      </c>
      <c r="I6" s="7">
        <v>40</v>
      </c>
      <c r="J6" s="9">
        <v>11</v>
      </c>
      <c r="K6" s="9">
        <v>2</v>
      </c>
    </row>
    <row r="7" spans="1:30" ht="15.75" customHeight="1" x14ac:dyDescent="0.25">
      <c r="A7" s="7" t="s">
        <v>52</v>
      </c>
      <c r="B7" s="8">
        <v>30</v>
      </c>
      <c r="C7" s="7">
        <v>0</v>
      </c>
      <c r="D7" s="7" t="str">
        <f>10&amp;"."&amp;$A$2&amp;"."&amp;B7&amp;".0"</f>
        <v>10.1.30.0</v>
      </c>
      <c r="E7" s="7" t="str">
        <f t="shared" si="0"/>
        <v>10.1.30.1</v>
      </c>
      <c r="F7" s="7" t="s">
        <v>50</v>
      </c>
      <c r="G7" s="7" t="str">
        <f t="shared" si="1"/>
        <v>10.1.30.1</v>
      </c>
      <c r="H7" s="7" t="str" cm="1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10.1.30.254</v>
      </c>
      <c r="I7" s="7">
        <v>40</v>
      </c>
      <c r="J7">
        <v>42</v>
      </c>
      <c r="K7">
        <v>7</v>
      </c>
    </row>
    <row r="8" spans="1:30" ht="15.75" customHeight="1" x14ac:dyDescent="0.25">
      <c r="A8" s="7" t="s">
        <v>53</v>
      </c>
      <c r="B8" s="8">
        <v>40</v>
      </c>
      <c r="C8" s="7">
        <v>0</v>
      </c>
      <c r="D8" s="7" t="str">
        <f>10&amp;"."&amp;$A$2&amp;"."&amp;B8&amp;".0"</f>
        <v>10.1.40.0</v>
      </c>
      <c r="E8" s="7" t="str">
        <f t="shared" ref="E8" si="2">10&amp;"."&amp;$A$2&amp;"."&amp;B8&amp;".1"</f>
        <v>10.1.40.1</v>
      </c>
      <c r="F8" s="7" t="s">
        <v>50</v>
      </c>
      <c r="G8" s="7" t="str">
        <f t="shared" ref="G8" si="3">VALUE(LEFT(D8,FIND(".",D8)-1))&amp;"."&amp;VALUE(MID(D8,FIND(".",D8)+1,FIND(".",D8,FIND(".",D8)+1)-FIND(".",D8)-1))&amp;"."&amp;VALUE(MID(D8,FIND(".",D8,FIND(".",D8)+1)+1,FIND(".",D8,FIND(".",D8,FIND(".",D8)+1)+1)-FIND(".",D8,FIND(".",D8)+1)-1))&amp;"."&amp;(VALUE(RIGHT(D8,LEN(D8)-FIND(".",D8,FIND(".",D8,FIND(".",D8)+1)+1)))+1)</f>
        <v>10.1.40.1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10.1.40.254</v>
      </c>
      <c r="I8" s="7">
        <v>40</v>
      </c>
      <c r="J8">
        <v>41</v>
      </c>
      <c r="K8">
        <v>10</v>
      </c>
    </row>
    <row r="9" spans="1:30" ht="15.75" customHeight="1" x14ac:dyDescent="0.25">
      <c r="A9" s="3"/>
      <c r="B9" s="3"/>
    </row>
    <row r="10" spans="1:30" ht="15.75" customHeight="1" x14ac:dyDescent="0.25">
      <c r="A10" s="6" t="s">
        <v>38</v>
      </c>
      <c r="B10" s="6" t="s">
        <v>55</v>
      </c>
      <c r="C10" s="6" t="s">
        <v>56</v>
      </c>
    </row>
    <row r="11" spans="1:30" ht="15.75" customHeight="1" x14ac:dyDescent="0.25">
      <c r="A11" s="7" t="s">
        <v>49</v>
      </c>
      <c r="B11" s="7">
        <v>10</v>
      </c>
      <c r="C11" s="7" t="str">
        <f>$A$2&amp;"."&amp;$A$2&amp;"."&amp;$A$2&amp;"."&amp;B11</f>
        <v>1.1.1.10</v>
      </c>
    </row>
    <row r="12" spans="1:30" ht="15.75" customHeight="1" x14ac:dyDescent="0.25">
      <c r="A12" s="7" t="s">
        <v>51</v>
      </c>
      <c r="B12" s="7">
        <v>20</v>
      </c>
      <c r="C12" s="7" t="str">
        <f t="shared" ref="C12:C14" si="4">$A$2&amp;"."&amp;$A$2&amp;"."&amp;$A$2&amp;"."&amp;B12</f>
        <v>1.1.1.20</v>
      </c>
    </row>
    <row r="13" spans="1:30" ht="15.75" customHeight="1" x14ac:dyDescent="0.25">
      <c r="A13" s="7" t="s">
        <v>52</v>
      </c>
      <c r="B13" s="7">
        <v>30</v>
      </c>
      <c r="C13" s="7" t="str">
        <f t="shared" si="4"/>
        <v>1.1.1.30</v>
      </c>
    </row>
    <row r="14" spans="1:30" ht="15.75" customHeight="1" x14ac:dyDescent="0.25">
      <c r="A14" s="7" t="s">
        <v>53</v>
      </c>
      <c r="B14" s="7">
        <v>40</v>
      </c>
      <c r="C14" s="7" t="str">
        <f t="shared" si="4"/>
        <v>1.1.1.40</v>
      </c>
    </row>
    <row r="15" spans="1:30" ht="15.75" customHeight="1" x14ac:dyDescent="0.25"/>
    <row r="16" spans="1:30" ht="15.75" customHeight="1" x14ac:dyDescent="0.25">
      <c r="A16" s="6" t="s">
        <v>57</v>
      </c>
      <c r="B16" s="6" t="s">
        <v>38</v>
      </c>
      <c r="C16" s="6" t="s">
        <v>58</v>
      </c>
      <c r="D16" s="6" t="s">
        <v>43</v>
      </c>
      <c r="E16" s="6" t="s">
        <v>59</v>
      </c>
      <c r="F16" s="6" t="s">
        <v>60</v>
      </c>
      <c r="G16" s="6" t="s">
        <v>61</v>
      </c>
      <c r="H16" s="1" t="s">
        <v>62</v>
      </c>
      <c r="I16" s="1" t="s">
        <v>63</v>
      </c>
      <c r="J16" s="1" t="s">
        <v>64</v>
      </c>
    </row>
    <row r="17" spans="1:17" ht="15.75" customHeight="1" x14ac:dyDescent="0.25">
      <c r="A17" s="7" t="s">
        <v>65</v>
      </c>
      <c r="B17" s="7" t="s">
        <v>49</v>
      </c>
      <c r="C17" s="7" t="str">
        <f>172&amp;"."&amp;16&amp;"."&amp;H17&amp;"."&amp;$A$2</f>
        <v>172.16.10.1</v>
      </c>
      <c r="D17" s="7" t="s">
        <v>50</v>
      </c>
      <c r="E17" s="7" t="str">
        <f>$C$2</f>
        <v>1.1.1.0</v>
      </c>
      <c r="F17" s="7"/>
      <c r="G17" s="7" t="s">
        <v>66</v>
      </c>
      <c r="H17" s="2">
        <v>10</v>
      </c>
      <c r="I17" s="28" t="b">
        <v>1</v>
      </c>
      <c r="J17" s="2"/>
    </row>
    <row r="18" spans="1:17" ht="15.75" customHeight="1" x14ac:dyDescent="0.25">
      <c r="A18" s="7" t="s">
        <v>67</v>
      </c>
      <c r="B18" s="7" t="s">
        <v>51</v>
      </c>
      <c r="C18" s="7" t="str">
        <f>172&amp;"."&amp;16&amp;"."&amp;H18&amp;"."&amp;$A$2</f>
        <v>172.16.20.1</v>
      </c>
      <c r="D18" s="7" t="s">
        <v>50</v>
      </c>
      <c r="E18" s="7" t="str">
        <f>$C$2</f>
        <v>1.1.1.0</v>
      </c>
      <c r="F18" s="7"/>
      <c r="G18" s="7" t="s">
        <v>66</v>
      </c>
      <c r="H18" s="2">
        <v>20</v>
      </c>
      <c r="I18" s="28" t="b">
        <v>0</v>
      </c>
      <c r="J18" s="2"/>
    </row>
    <row r="19" spans="1:17" ht="15.75" customHeight="1" x14ac:dyDescent="0.25">
      <c r="A19" s="7" t="s">
        <v>68</v>
      </c>
      <c r="B19" s="7" t="s">
        <v>52</v>
      </c>
      <c r="C19" s="7" t="str">
        <f>172&amp;"."&amp;16&amp;"."&amp;H19&amp;"."&amp;$A$2</f>
        <v>172.16.30.1</v>
      </c>
      <c r="D19" s="7" t="s">
        <v>50</v>
      </c>
      <c r="E19" s="7" t="str">
        <f>$C$2</f>
        <v>1.1.1.0</v>
      </c>
      <c r="F19" s="7"/>
      <c r="G19" s="7" t="s">
        <v>66</v>
      </c>
      <c r="H19" s="2">
        <v>30</v>
      </c>
      <c r="I19" s="28" t="b">
        <v>1</v>
      </c>
      <c r="J19" s="2"/>
    </row>
    <row r="20" spans="1:17" ht="15.75" customHeight="1" x14ac:dyDescent="0.25">
      <c r="A20" s="7" t="s">
        <v>69</v>
      </c>
      <c r="B20" s="7" t="s">
        <v>53</v>
      </c>
      <c r="C20" s="7" t="str">
        <f>172&amp;"."&amp;16&amp;"."&amp;H20&amp;"."&amp;$A$2</f>
        <v>172.16.40.1</v>
      </c>
      <c r="D20" s="7" t="s">
        <v>50</v>
      </c>
      <c r="E20" s="7" t="str">
        <f>$C$2</f>
        <v>1.1.1.0</v>
      </c>
      <c r="F20" s="7"/>
      <c r="G20" s="7" t="s">
        <v>66</v>
      </c>
      <c r="H20" s="2">
        <v>40</v>
      </c>
      <c r="I20" s="28" t="b">
        <v>1</v>
      </c>
      <c r="J20" s="2"/>
    </row>
    <row r="21" spans="1:17" ht="15.75" customHeight="1" x14ac:dyDescent="0.25">
      <c r="A21" s="11"/>
      <c r="B21" s="11"/>
      <c r="C21" s="11"/>
      <c r="D21" s="11"/>
      <c r="E21" s="11"/>
      <c r="F21" s="11"/>
      <c r="G21" s="11"/>
    </row>
    <row r="22" spans="1:17" ht="15.75" customHeight="1" x14ac:dyDescent="0.25">
      <c r="A22" s="1" t="s">
        <v>0</v>
      </c>
      <c r="B22" s="1" t="s">
        <v>3</v>
      </c>
      <c r="C22" s="1" t="s">
        <v>4</v>
      </c>
      <c r="D22" s="1" t="s">
        <v>5</v>
      </c>
      <c r="E22" s="1" t="s">
        <v>6</v>
      </c>
      <c r="F22" s="1" t="s">
        <v>70</v>
      </c>
      <c r="G22" s="1" t="s">
        <v>71</v>
      </c>
      <c r="H22" s="1" t="s">
        <v>72</v>
      </c>
      <c r="I22" s="1" t="s">
        <v>7</v>
      </c>
    </row>
    <row r="23" spans="1:17" ht="28.65" customHeight="1" x14ac:dyDescent="0.25">
      <c r="A23" s="2">
        <f>$A$2</f>
        <v>1</v>
      </c>
      <c r="B23" s="2" t="str">
        <f>$D$2</f>
        <v>admin</v>
      </c>
      <c r="C23" s="2" t="str">
        <f>$E$2</f>
        <v>$9$0nNdTjfcaOQFlP$4VgON16XmZXlfGr4BcOzEN7OoRxfPIAcXDQ0afwx67k</v>
      </c>
      <c r="D23" s="2" t="str">
        <f>$F$2</f>
        <v>0 - 15</v>
      </c>
      <c r="E23" s="2" t="str">
        <f>$G$2</f>
        <v>$9$0nNdTjfcaOQFlP$4VgON16XmZXlfGr4BcOzEN7OoRxfPIAcXDQ0afwx67k</v>
      </c>
      <c r="F23" s="2">
        <v>2</v>
      </c>
      <c r="G23" s="2" t="s">
        <v>125</v>
      </c>
      <c r="H23" s="42" t="s">
        <v>128</v>
      </c>
      <c r="I23" s="35" cm="1">
        <f t="array" ref="I23">Tabell5[ISP-VLAN]</f>
        <v>200</v>
      </c>
    </row>
    <row r="24" spans="1:17" ht="15.75" customHeight="1" x14ac:dyDescent="0.25"/>
    <row r="25" spans="1:17" ht="27.9" customHeight="1" x14ac:dyDescent="0.25">
      <c r="A25" s="13" t="s">
        <v>74</v>
      </c>
      <c r="B25" s="13" t="s">
        <v>75</v>
      </c>
      <c r="C25" s="13" t="s">
        <v>76</v>
      </c>
      <c r="D25" s="13" t="s">
        <v>42</v>
      </c>
      <c r="E25" s="13" t="s">
        <v>43</v>
      </c>
      <c r="F25" s="13" t="s">
        <v>77</v>
      </c>
      <c r="G25" s="13" t="s">
        <v>78</v>
      </c>
      <c r="H25" s="13" t="s">
        <v>79</v>
      </c>
      <c r="I25" s="13" t="s">
        <v>80</v>
      </c>
      <c r="J25" s="13" t="s">
        <v>1</v>
      </c>
      <c r="K25" s="13" t="s">
        <v>81</v>
      </c>
      <c r="L25" s="25" t="s">
        <v>82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10.1.10.2</v>
      </c>
      <c r="D26" s="7" t="str">
        <f>$E$5</f>
        <v>10.1.10.1</v>
      </c>
      <c r="E26" s="7" t="str">
        <f>$F$5</f>
        <v>255.255.255.0</v>
      </c>
      <c r="F26" s="7">
        <v>25</v>
      </c>
      <c r="G26" s="7">
        <v>1</v>
      </c>
      <c r="H26" s="10">
        <v>0</v>
      </c>
      <c r="I26" s="7" t="s">
        <v>123</v>
      </c>
      <c r="J26" s="2" t="s">
        <v>25</v>
      </c>
      <c r="K26" s="2">
        <f>IF($A26=1,F26-G26-H26*$F$23-2-IF($L$2&lt;&gt;$M$2,1,0)-IF(OR(UPPER($G$23)="SPAN",UPPER($G$23)="ERSPAN",UPPER($G$23)="RSPAN"),1,0),F26-G26-(1+H26)*$F$23-1)</f>
        <v>21</v>
      </c>
      <c r="M26" s="31"/>
      <c r="N26" s="31"/>
      <c r="O26" s="31"/>
      <c r="P26" s="31"/>
      <c r="Q26" s="31"/>
    </row>
    <row r="27" spans="1:17" ht="15.75" customHeight="1" x14ac:dyDescent="0.25"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dataValidations count="10">
    <dataValidation type="list" sqref="G23" xr:uid="{00000000-0002-0000-0000-000000000000}">
      <formula1>"SPAN,RSPAN,ERSPAN"</formula1>
    </dataValidation>
    <dataValidation type="custom" allowBlank="1" showInputMessage="1" showErrorMessage="1" sqref="I26" xr:uid="{00000000-0002-0000-0000-000001000000}">
      <formula1>IF(I26="",TRUE,SUM(--_xlfn.TEXTAFTER(_xlfn.TEXTSPLIT(I26,"-"),"."))&lt;=K26)</formula1>
    </dataValidation>
    <dataValidation type="list" sqref="N2" xr:uid="{00000000-0002-0000-0000-000002000000}">
      <formula1>"OFF,STRICT,LOOSE"</formula1>
    </dataValidation>
    <dataValidation type="list" sqref="Q2" xr:uid="{00000000-0002-0000-0000-000003000000}">
      <formula1>"2,3"</formula1>
    </dataValidation>
    <dataValidation type="list" sqref="M26:N57 V2 R2:S2" xr:uid="{00000000-0002-0000-0000-000004000000}">
      <formula1>"OLD,NEW"</formula1>
    </dataValidation>
    <dataValidation type="list" sqref="T2 O26:O57" xr:uid="{00000000-0002-0000-0000-000005000000}">
      <formula1>"LEGACY,AUTH,ACCESS_SESSION"</formula1>
    </dataValidation>
    <dataValidation type="list" sqref="U2" xr:uid="{00000000-0002-0000-0000-000006000000}">
      <formula1>"CLASSIC,NAMED"</formula1>
    </dataValidation>
    <dataValidation type="list" sqref="W2" xr:uid="{00000000-0002-0000-0000-000007000000}">
      <formula1>"IKEV1,IKEV2"</formula1>
    </dataValidation>
    <dataValidation type="list" sqref="X2 P26:P57" xr:uid="{00000000-0002-0000-0000-000008000000}">
      <formula1>"AUTO,5,8,9"</formula1>
    </dataValidation>
    <dataValidation type="list" sqref="Y2 Q26:Q57" xr:uid="{00000000-0002-0000-0000-000009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DC77-8BBB-4908-955E-B9316A6BE4D3}">
  <dimension ref="A1:AA995"/>
  <sheetViews>
    <sheetView topLeftCell="F1" zoomScale="70" zoomScaleNormal="70" workbookViewId="0">
      <selection activeCell="F26" sqref="A26:XFD26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4.33203125" style="12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115</v>
      </c>
      <c r="X1" s="33" t="s">
        <v>116</v>
      </c>
      <c r="Y1" s="33" t="s">
        <v>117</v>
      </c>
      <c r="Z1" s="33" t="s">
        <v>118</v>
      </c>
      <c r="AA1" s="33" t="s">
        <v>119</v>
      </c>
    </row>
    <row r="2" spans="1:27" ht="15.75" customHeight="1" x14ac:dyDescent="0.25">
      <c r="A2" s="12">
        <v>2</v>
      </c>
      <c r="B2" s="12" t="s">
        <v>25</v>
      </c>
      <c r="C2" s="12" t="str">
        <f>A2&amp;"."&amp;A2&amp;"."&amp;A2&amp;".0"</f>
        <v>2.2.2.0</v>
      </c>
      <c r="D2" s="12" t="s">
        <v>26</v>
      </c>
      <c r="E2" s="12" t="s">
        <v>27</v>
      </c>
      <c r="F2" s="12" t="s">
        <v>126</v>
      </c>
      <c r="G2" s="12" t="s">
        <v>27</v>
      </c>
      <c r="H2" s="12" t="str">
        <f>'Site 1 (HUB)'!I2</f>
        <v>TACACS-KEY</v>
      </c>
      <c r="I2" s="12" t="s">
        <v>131</v>
      </c>
      <c r="J2" s="14" t="str">
        <f>'Site 1 (HUB)'!L2</f>
        <v>10.1.10.10</v>
      </c>
      <c r="K2" s="14" t="str">
        <f>'Site 1 (HUB)'!M2</f>
        <v>10.1.10.10</v>
      </c>
      <c r="L2" s="20" t="s">
        <v>30</v>
      </c>
      <c r="M2" s="30" t="str">
        <f>'Site 1 (HUB)'!O2</f>
        <v>10.1.10.10</v>
      </c>
      <c r="N2" s="30" t="str">
        <f>'Site 1 (HUB)'!P2</f>
        <v>RADIUS-KEY</v>
      </c>
      <c r="O2" s="34" t="s">
        <v>32</v>
      </c>
      <c r="P2" s="34" t="s">
        <v>32</v>
      </c>
      <c r="Q2" s="34" t="s">
        <v>33</v>
      </c>
      <c r="R2" s="34" t="s">
        <v>34</v>
      </c>
      <c r="S2" s="34" t="s">
        <v>35</v>
      </c>
      <c r="T2" s="34" t="s">
        <v>36</v>
      </c>
      <c r="U2" s="34">
        <v>9</v>
      </c>
      <c r="V2" s="34" t="s">
        <v>83</v>
      </c>
      <c r="W2" s="39" t="b">
        <v>1</v>
      </c>
      <c r="X2" s="40" t="s">
        <v>29</v>
      </c>
      <c r="Y2" s="40" t="s">
        <v>120</v>
      </c>
      <c r="Z2" s="40" t="s">
        <v>121</v>
      </c>
      <c r="AA2" s="40" t="s">
        <v>122</v>
      </c>
    </row>
    <row r="3" spans="1:27" ht="15.75" customHeight="1" x14ac:dyDescent="0.25"/>
    <row r="4" spans="1:27" ht="31.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26" t="s">
        <v>46</v>
      </c>
      <c r="J4" s="27" t="s">
        <v>47</v>
      </c>
      <c r="K4" s="27" t="s">
        <v>48</v>
      </c>
    </row>
    <row r="5" spans="1:27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10.2.10.0</v>
      </c>
      <c r="E5" s="7" t="str">
        <f>10&amp;"."&amp;$A$2&amp;"."&amp;B5&amp;".1"</f>
        <v>10.2.10.1</v>
      </c>
      <c r="F5" s="7" t="s">
        <v>50</v>
      </c>
      <c r="G5" s="7" t="str">
        <f t="shared" ref="G5:G8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10.2.10.1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10.2.10.254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51</v>
      </c>
      <c r="B6" s="8">
        <v>20</v>
      </c>
      <c r="C6" s="7">
        <v>0</v>
      </c>
      <c r="D6" s="7" t="str">
        <f t="shared" ref="D6:D8" si="1">10&amp;"."&amp;$A$2&amp;"."&amp;B6&amp;".0"</f>
        <v>10.2.20.0</v>
      </c>
      <c r="E6" s="7" t="str">
        <f t="shared" ref="E6:E8" si="2">10&amp;"."&amp;$A$2&amp;"."&amp;B6&amp;".1"</f>
        <v>10.2.20.1</v>
      </c>
      <c r="F6" s="7" t="s">
        <v>50</v>
      </c>
      <c r="G6" s="7" t="str">
        <f t="shared" si="0"/>
        <v>10.2.20.1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10.2.20.254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52</v>
      </c>
      <c r="B7" s="8">
        <v>30</v>
      </c>
      <c r="C7" s="7">
        <v>0</v>
      </c>
      <c r="D7" s="7" t="str">
        <f t="shared" si="1"/>
        <v>10.2.30.0</v>
      </c>
      <c r="E7" s="7" t="str">
        <f t="shared" si="2"/>
        <v>10.2.30.1</v>
      </c>
      <c r="F7" s="7" t="s">
        <v>50</v>
      </c>
      <c r="G7" s="7" t="str">
        <f t="shared" si="0"/>
        <v>10.2.30.1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10.2.30.254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53</v>
      </c>
      <c r="B8" s="8">
        <v>40</v>
      </c>
      <c r="C8" s="7">
        <v>0</v>
      </c>
      <c r="D8" s="7" t="str">
        <f t="shared" si="1"/>
        <v>10.2.40.0</v>
      </c>
      <c r="E8" s="7" t="str">
        <f t="shared" si="2"/>
        <v>10.2.40.1</v>
      </c>
      <c r="F8" s="7" t="s">
        <v>50</v>
      </c>
      <c r="G8" s="7" t="str">
        <f t="shared" si="0"/>
        <v>10.2.40.1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10.2.40.254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3"/>
      <c r="B9" s="3"/>
      <c r="C9"/>
      <c r="D9"/>
      <c r="E9"/>
      <c r="F9"/>
      <c r="G9"/>
      <c r="H9"/>
      <c r="I9"/>
      <c r="J9"/>
      <c r="K9"/>
      <c r="L9" s="12"/>
    </row>
    <row r="10" spans="1:27" ht="15.75" customHeight="1" x14ac:dyDescent="0.25">
      <c r="A10" s="6" t="s">
        <v>38</v>
      </c>
      <c r="B10" s="6" t="s">
        <v>55</v>
      </c>
      <c r="C10" s="6" t="s">
        <v>56</v>
      </c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7" t="s">
        <v>49</v>
      </c>
      <c r="B11" s="7">
        <v>10</v>
      </c>
      <c r="C11" s="7" t="str">
        <f>$A$2&amp;"."&amp;$A$2&amp;"."&amp;$A$2&amp;"."&amp;B11</f>
        <v>2.2.2.10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51</v>
      </c>
      <c r="B12" s="7">
        <v>20</v>
      </c>
      <c r="C12" s="7" t="str">
        <f t="shared" ref="C12:C14" si="3">$A$2&amp;"."&amp;$A$2&amp;"."&amp;$A$2&amp;"."&amp;B12</f>
        <v>2.2.2.20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52</v>
      </c>
      <c r="B13" s="7">
        <v>30</v>
      </c>
      <c r="C13" s="7" t="str">
        <f t="shared" si="3"/>
        <v>2.2.2.30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53</v>
      </c>
      <c r="B14" s="7">
        <v>40</v>
      </c>
      <c r="C14" s="7" t="str">
        <f t="shared" si="3"/>
        <v>2.2.2.40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/>
    <row r="16" spans="1:27" ht="15.75" customHeight="1" x14ac:dyDescent="0.25">
      <c r="A16" s="12" t="s">
        <v>57</v>
      </c>
      <c r="B16" s="12" t="s">
        <v>38</v>
      </c>
      <c r="C16" s="12" t="s">
        <v>58</v>
      </c>
      <c r="D16" s="12" t="s">
        <v>43</v>
      </c>
      <c r="E16" s="12" t="s">
        <v>59</v>
      </c>
      <c r="F16" s="12" t="s">
        <v>60</v>
      </c>
      <c r="G16" s="12" t="s">
        <v>61</v>
      </c>
      <c r="H16" s="12" t="s">
        <v>62</v>
      </c>
      <c r="I16" s="12" t="s">
        <v>63</v>
      </c>
      <c r="J16" s="12" t="s">
        <v>64</v>
      </c>
    </row>
    <row r="17" spans="1:17" ht="15.75" customHeight="1" x14ac:dyDescent="0.25">
      <c r="A17" s="12" t="s">
        <v>65</v>
      </c>
      <c r="B17" s="12" t="s">
        <v>49</v>
      </c>
      <c r="C17" s="12" t="str">
        <f>172&amp;"."&amp;16&amp;"."&amp;H17&amp;"."&amp;$A$2</f>
        <v>172.16.10.2</v>
      </c>
      <c r="D17" s="12" t="s">
        <v>50</v>
      </c>
      <c r="E17" s="12" t="str">
        <f t="shared" ref="E17:E20" si="4">$C$2</f>
        <v>2.2.2.0</v>
      </c>
      <c r="F17"/>
      <c r="G17" s="12" t="s">
        <v>66</v>
      </c>
      <c r="H17" s="12">
        <v>10</v>
      </c>
      <c r="I17" s="29" t="b">
        <f>'Site 1 (HUB)'!I17</f>
        <v>1</v>
      </c>
      <c r="J17"/>
    </row>
    <row r="18" spans="1:17" ht="15.75" customHeight="1" x14ac:dyDescent="0.25">
      <c r="A18" s="12" t="s">
        <v>67</v>
      </c>
      <c r="B18" s="12" t="s">
        <v>51</v>
      </c>
      <c r="C18" s="12" t="str">
        <f>172&amp;"."&amp;16&amp;"."&amp;H18&amp;"."&amp;$A$2</f>
        <v>172.16.20.2</v>
      </c>
      <c r="D18" s="12" t="s">
        <v>50</v>
      </c>
      <c r="E18" s="12" t="str">
        <f t="shared" si="4"/>
        <v>2.2.2.0</v>
      </c>
      <c r="F18"/>
      <c r="G18" s="12" t="s">
        <v>66</v>
      </c>
      <c r="H18" s="12">
        <v>20</v>
      </c>
      <c r="I18" s="29" t="b" cm="1">
        <f>'Site 1 (HUB)'!I18</f>
        <v>0</v>
      </c>
      <c r="J18"/>
    </row>
    <row r="19" spans="1:17" ht="15.75" customHeight="1" x14ac:dyDescent="0.25">
      <c r="A19" s="12" t="s">
        <v>68</v>
      </c>
      <c r="B19" s="12" t="s">
        <v>52</v>
      </c>
      <c r="C19" s="12" t="str">
        <f>172&amp;"."&amp;16&amp;"."&amp;H19&amp;"."&amp;$A$2</f>
        <v>172.16.30.2</v>
      </c>
      <c r="D19" s="12" t="s">
        <v>50</v>
      </c>
      <c r="E19" s="12" t="str">
        <f t="shared" si="4"/>
        <v>2.2.2.0</v>
      </c>
      <c r="F19"/>
      <c r="G19" s="12" t="s">
        <v>66</v>
      </c>
      <c r="H19" s="12">
        <v>30</v>
      </c>
      <c r="I19" s="29" t="b">
        <f>'Site 1 (HUB)'!I19</f>
        <v>1</v>
      </c>
      <c r="J19"/>
    </row>
    <row r="20" spans="1:17" ht="15.75" customHeight="1" x14ac:dyDescent="0.25">
      <c r="A20" s="12" t="s">
        <v>69</v>
      </c>
      <c r="B20" s="12" t="s">
        <v>53</v>
      </c>
      <c r="C20" s="12" t="str">
        <f t="shared" ref="C20" si="5">172&amp;"."&amp;16&amp;"."&amp;H20&amp;"."&amp;$A$2</f>
        <v>172.16.40.2</v>
      </c>
      <c r="D20" s="12" t="s">
        <v>50</v>
      </c>
      <c r="E20" s="12" t="str">
        <f t="shared" si="4"/>
        <v>2.2.2.0</v>
      </c>
      <c r="F20"/>
      <c r="G20" s="12" t="s">
        <v>66</v>
      </c>
      <c r="H20" s="12">
        <v>40</v>
      </c>
      <c r="I20" s="29" t="b">
        <f>'Site 1 (HUB)'!I20</f>
        <v>1</v>
      </c>
      <c r="J20"/>
    </row>
    <row r="21" spans="1:17" ht="15.75" customHeight="1" x14ac:dyDescent="0.25"/>
    <row r="22" spans="1:17" ht="16.5" customHeight="1" x14ac:dyDescent="0.25">
      <c r="A22" s="12" t="s">
        <v>0</v>
      </c>
      <c r="B22" s="12" t="s">
        <v>3</v>
      </c>
      <c r="C22" s="12" t="s">
        <v>4</v>
      </c>
      <c r="D22" s="12" t="s">
        <v>5</v>
      </c>
      <c r="E22" s="12" t="s">
        <v>6</v>
      </c>
      <c r="F22" s="12" t="s">
        <v>70</v>
      </c>
      <c r="G22" s="1" t="s">
        <v>71</v>
      </c>
      <c r="H22" s="1" t="s">
        <v>72</v>
      </c>
    </row>
    <row r="23" spans="1:17" ht="15.75" customHeight="1" x14ac:dyDescent="0.25">
      <c r="A23" s="12">
        <f>$A$2</f>
        <v>2</v>
      </c>
      <c r="B23" s="12" t="str">
        <f>$D$2</f>
        <v>admin</v>
      </c>
      <c r="C23" s="12" t="str">
        <f>$E$2</f>
        <v>$9$0nNdTjfcaOQFlP$4VgON16XmZXlfGr4BcOzEN7OoRxfPIAcXDQ0afwx67k</v>
      </c>
      <c r="D23" s="12" t="str">
        <f>$F$2</f>
        <v>0 - 15</v>
      </c>
      <c r="E23" s="12" t="str">
        <f>$G$2</f>
        <v>$9$0nNdTjfcaOQFlP$4VgON16XmZXlfGr4BcOzEN7OoRxfPIAcXDQ0afwx67k</v>
      </c>
      <c r="F23" s="12">
        <v>2</v>
      </c>
      <c r="G23" s="2"/>
      <c r="H23" s="30" t="s">
        <v>73</v>
      </c>
    </row>
    <row r="24" spans="1:17" ht="15.75" customHeight="1" x14ac:dyDescent="0.25"/>
    <row r="25" spans="1:17" ht="27.9" customHeight="1" x14ac:dyDescent="0.25">
      <c r="A25" s="13" t="s">
        <v>74</v>
      </c>
      <c r="B25" s="13" t="s">
        <v>75</v>
      </c>
      <c r="C25" s="13" t="s">
        <v>76</v>
      </c>
      <c r="D25" s="13" t="s">
        <v>42</v>
      </c>
      <c r="E25" s="13" t="s">
        <v>43</v>
      </c>
      <c r="F25" s="13" t="s">
        <v>77</v>
      </c>
      <c r="G25" s="13" t="s">
        <v>78</v>
      </c>
      <c r="H25" s="13" t="s">
        <v>79</v>
      </c>
      <c r="I25" s="13" t="s">
        <v>80</v>
      </c>
      <c r="J25" s="13" t="s">
        <v>1</v>
      </c>
      <c r="K25" s="13" t="s">
        <v>81</v>
      </c>
      <c r="L25" s="25" t="s">
        <v>82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10.2.10.2</v>
      </c>
      <c r="D26" s="7" t="str">
        <f>$E$5</f>
        <v>10.2.10.1</v>
      </c>
      <c r="E26" s="7" t="str">
        <f>$F$5</f>
        <v>255.255.255.0</v>
      </c>
      <c r="F26" s="7">
        <v>49</v>
      </c>
      <c r="G26" s="7">
        <v>1</v>
      </c>
      <c r="H26" s="10">
        <v>1</v>
      </c>
      <c r="I26" s="7" t="s">
        <v>129</v>
      </c>
      <c r="J26" s="2" t="s">
        <v>127</v>
      </c>
      <c r="K26" s="2">
        <f>IF($A26=1,F26-G26-H26*$F$23-2-IF(OR(UPPER($G$23)="SPAN",UPPER($G$23)="RSPAN"),1,0),F26-G26-(1+H26)*$F$23-1)</f>
        <v>44</v>
      </c>
      <c r="M26" s="31"/>
      <c r="N26" s="31"/>
      <c r="O26" s="31"/>
      <c r="P26" s="31"/>
      <c r="Q26" s="31"/>
    </row>
    <row r="27" spans="1:17" ht="15.75" customHeight="1" x14ac:dyDescent="0.25">
      <c r="A27" s="7">
        <f>ROW()-25</f>
        <v>2</v>
      </c>
      <c r="B27" s="7">
        <f>$B$5</f>
        <v>10</v>
      </c>
      <c r="C27" s="7" t="str">
        <f>10&amp;"."&amp;$A$2&amp;"."&amp;$B$5&amp;"."&amp;(A27+1)</f>
        <v>10.2.10.3</v>
      </c>
      <c r="D27" s="7" t="str">
        <f>$E$5</f>
        <v>10.2.10.1</v>
      </c>
      <c r="E27" s="7" t="str">
        <f>$F$5</f>
        <v>255.255.255.0</v>
      </c>
      <c r="F27" s="7">
        <v>11</v>
      </c>
      <c r="G27" s="7">
        <v>1</v>
      </c>
      <c r="H27" s="7">
        <v>0</v>
      </c>
      <c r="I27" s="41" t="s">
        <v>130</v>
      </c>
      <c r="J27" s="2" t="s">
        <v>25</v>
      </c>
      <c r="K27" s="2">
        <f>IF($A27=1,F27-G27-H27*$F$23-2-IF(OR(UPPER($G$23)="SPAN",UPPER($G$23)="RSPAN"),1,0),F27-G27-(1+H27)*$F$23-1)</f>
        <v>7</v>
      </c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dataValidations count="9">
    <dataValidation type="list" sqref="V2 Q26:Q57" xr:uid="{39D8B1B3-368B-4AC5-A514-11645F40D89B}">
      <formula1>"AUTO,DOT1Q_CMD,NO_CMD"</formula1>
    </dataValidation>
    <dataValidation type="list" sqref="U2 P26:P57" xr:uid="{40E87254-C5D0-4454-8C47-5100945ED78A}">
      <formula1>"AUTO,5,8,9"</formula1>
    </dataValidation>
    <dataValidation type="list" sqref="T2" xr:uid="{D82DFD41-8835-4B4F-94E1-F31DD76B81DE}">
      <formula1>"IKEV1,IKEV2"</formula1>
    </dataValidation>
    <dataValidation type="list" sqref="R2" xr:uid="{F047568E-0FF5-4EA3-A7BF-468F3B62A5DC}">
      <formula1>"CLASSIC,NAMED"</formula1>
    </dataValidation>
    <dataValidation type="list" sqref="Q2 O26:O57" xr:uid="{8398B055-E1AD-474F-AA4B-7C530D80F4B4}">
      <formula1>"LEGACY,AUTH,ACCESS_SESSION"</formula1>
    </dataValidation>
    <dataValidation type="list" sqref="O2:P2 S2 M26:N57" xr:uid="{3BA14544-E617-4EAB-8056-F1ADFAEBFA4A}">
      <formula1>"OLD,NEW"</formula1>
    </dataValidation>
    <dataValidation type="custom" allowBlank="1" showInputMessage="1" showErrorMessage="1" sqref="I26:I27" xr:uid="{5FB8B7A2-FDEC-49C6-A037-9F36974649E1}">
      <formula1>IF(I26="",TRUE,SUM(--_xlfn.TEXTAFTER(_xlfn.TEXTSPLIT(I26,"-"),"."))&lt;=K26)</formula1>
    </dataValidation>
    <dataValidation type="list" sqref="L2" xr:uid="{1CFE3BAF-8D34-4CA8-BE94-49E44A9437C4}">
      <formula1>"OFF,STRICT,LOOSE"</formula1>
    </dataValidation>
    <dataValidation type="list" sqref="G23" xr:uid="{194DE05B-70E4-4CED-BEE9-B1A159236E6A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94"/>
  <sheetViews>
    <sheetView tabSelected="1" topLeftCell="S1" zoomScale="70" zoomScaleNormal="70" workbookViewId="0">
      <selection activeCell="E29" sqref="E29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4.33203125" style="12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115</v>
      </c>
      <c r="X1" s="33" t="s">
        <v>116</v>
      </c>
      <c r="Y1" s="33" t="s">
        <v>117</v>
      </c>
      <c r="Z1" s="33" t="s">
        <v>118</v>
      </c>
      <c r="AA1" s="33" t="s">
        <v>119</v>
      </c>
    </row>
    <row r="2" spans="1:27" ht="15.75" customHeight="1" x14ac:dyDescent="0.25">
      <c r="A2" s="12">
        <v>3</v>
      </c>
      <c r="B2" s="12" t="s">
        <v>25</v>
      </c>
      <c r="C2" s="12" t="str">
        <f>A2&amp;"."&amp;A2&amp;"."&amp;A2&amp;".0"</f>
        <v>3.3.3.0</v>
      </c>
      <c r="D2" s="12" t="s">
        <v>26</v>
      </c>
      <c r="E2" s="12" t="s">
        <v>27</v>
      </c>
      <c r="F2" s="12" t="s">
        <v>126</v>
      </c>
      <c r="G2" s="12" t="s">
        <v>27</v>
      </c>
      <c r="H2" s="12" t="str">
        <f>'Site 1 (HUB)'!I2</f>
        <v>TACACS-KEY</v>
      </c>
      <c r="I2" s="12" t="s">
        <v>131</v>
      </c>
      <c r="J2" s="14" t="str">
        <f>'Site 1 (HUB)'!L2</f>
        <v>10.1.10.10</v>
      </c>
      <c r="K2" s="14" t="str">
        <f>'Site 1 (HUB)'!M2</f>
        <v>10.1.10.10</v>
      </c>
      <c r="L2" s="20" t="s">
        <v>30</v>
      </c>
      <c r="M2" s="30" t="str">
        <f>'Site 1 (HUB)'!O2</f>
        <v>10.1.10.10</v>
      </c>
      <c r="N2" s="30" t="str">
        <f>'Site 1 (HUB)'!P2</f>
        <v>RADIUS-KEY</v>
      </c>
      <c r="O2" s="34" t="s">
        <v>32</v>
      </c>
      <c r="P2" s="34" t="s">
        <v>32</v>
      </c>
      <c r="Q2" s="34" t="s">
        <v>33</v>
      </c>
      <c r="R2" s="34" t="s">
        <v>34</v>
      </c>
      <c r="S2" s="34" t="s">
        <v>35</v>
      </c>
      <c r="T2" s="34" t="s">
        <v>36</v>
      </c>
      <c r="U2" s="34">
        <v>9</v>
      </c>
      <c r="V2" s="34" t="s">
        <v>83</v>
      </c>
      <c r="W2" s="39" t="b">
        <v>1</v>
      </c>
      <c r="X2" s="40" t="s">
        <v>29</v>
      </c>
      <c r="Y2" s="40" t="s">
        <v>120</v>
      </c>
      <c r="Z2" s="40" t="s">
        <v>121</v>
      </c>
      <c r="AA2" s="40" t="s">
        <v>122</v>
      </c>
    </row>
    <row r="3" spans="1:27" ht="15.75" customHeight="1" x14ac:dyDescent="0.25"/>
    <row r="4" spans="1:27" ht="31.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26" t="s">
        <v>46</v>
      </c>
      <c r="J4" s="27" t="s">
        <v>47</v>
      </c>
      <c r="K4" s="27" t="s">
        <v>48</v>
      </c>
    </row>
    <row r="5" spans="1:27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10.3.10.0</v>
      </c>
      <c r="E5" s="7" t="str">
        <f>10&amp;"."&amp;$A$2&amp;"."&amp;B5&amp;".1"</f>
        <v>10.3.10.1</v>
      </c>
      <c r="F5" s="7" t="s">
        <v>50</v>
      </c>
      <c r="G5" s="7" t="str">
        <f t="shared" ref="G5:G8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10.3.10.1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10.3.10.254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51</v>
      </c>
      <c r="B6" s="8">
        <v>20</v>
      </c>
      <c r="C6" s="7">
        <v>0</v>
      </c>
      <c r="D6" s="7" t="str">
        <f t="shared" ref="D6:D8" si="1">10&amp;"."&amp;$A$2&amp;"."&amp;B6&amp;".0"</f>
        <v>10.3.20.0</v>
      </c>
      <c r="E6" s="7" t="str">
        <f t="shared" ref="E6:E8" si="2">10&amp;"."&amp;$A$2&amp;"."&amp;B6&amp;".1"</f>
        <v>10.3.20.1</v>
      </c>
      <c r="F6" s="7" t="s">
        <v>50</v>
      </c>
      <c r="G6" s="7" t="str">
        <f t="shared" si="0"/>
        <v>10.3.20.1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10.3.20.254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52</v>
      </c>
      <c r="B7" s="8">
        <v>30</v>
      </c>
      <c r="C7" s="7">
        <v>0</v>
      </c>
      <c r="D7" s="7" t="str">
        <f t="shared" si="1"/>
        <v>10.3.30.0</v>
      </c>
      <c r="E7" s="7" t="str">
        <f t="shared" si="2"/>
        <v>10.3.30.1</v>
      </c>
      <c r="F7" s="7" t="s">
        <v>50</v>
      </c>
      <c r="G7" s="7" t="str">
        <f t="shared" si="0"/>
        <v>10.3.30.1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10.3.30.254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53</v>
      </c>
      <c r="B8" s="8">
        <v>40</v>
      </c>
      <c r="C8" s="7">
        <v>0</v>
      </c>
      <c r="D8" s="7" t="str">
        <f t="shared" si="1"/>
        <v>10.3.40.0</v>
      </c>
      <c r="E8" s="7" t="str">
        <f t="shared" si="2"/>
        <v>10.3.40.1</v>
      </c>
      <c r="F8" s="7" t="s">
        <v>50</v>
      </c>
      <c r="G8" s="7" t="str">
        <f t="shared" si="0"/>
        <v>10.3.40.1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10.3.40.254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3"/>
      <c r="B9" s="3"/>
      <c r="C9"/>
      <c r="D9"/>
      <c r="E9"/>
      <c r="F9"/>
      <c r="G9"/>
      <c r="H9"/>
      <c r="I9"/>
      <c r="J9"/>
      <c r="K9"/>
      <c r="L9" s="12"/>
    </row>
    <row r="10" spans="1:27" ht="15.75" customHeight="1" x14ac:dyDescent="0.25">
      <c r="A10" s="6" t="s">
        <v>38</v>
      </c>
      <c r="B10" s="6" t="s">
        <v>55</v>
      </c>
      <c r="C10" s="6" t="s">
        <v>56</v>
      </c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7" t="s">
        <v>49</v>
      </c>
      <c r="B11" s="7">
        <v>10</v>
      </c>
      <c r="C11" s="7" t="str">
        <f>$A$2&amp;"."&amp;$A$2&amp;"."&amp;$A$2&amp;"."&amp;B11</f>
        <v>3.3.3.10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51</v>
      </c>
      <c r="B12" s="7">
        <v>20</v>
      </c>
      <c r="C12" s="7" t="str">
        <f t="shared" ref="C12:C14" si="3">$A$2&amp;"."&amp;$A$2&amp;"."&amp;$A$2&amp;"."&amp;B12</f>
        <v>3.3.3.20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52</v>
      </c>
      <c r="B13" s="7">
        <v>30</v>
      </c>
      <c r="C13" s="7" t="str">
        <f t="shared" si="3"/>
        <v>3.3.3.30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53</v>
      </c>
      <c r="B14" s="7">
        <v>40</v>
      </c>
      <c r="C14" s="7" t="str">
        <f t="shared" si="3"/>
        <v>3.3.3.40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/>
    <row r="16" spans="1:27" ht="15.75" customHeight="1" x14ac:dyDescent="0.25">
      <c r="A16" s="12" t="s">
        <v>57</v>
      </c>
      <c r="B16" s="12" t="s">
        <v>38</v>
      </c>
      <c r="C16" s="12" t="s">
        <v>58</v>
      </c>
      <c r="D16" s="12" t="s">
        <v>43</v>
      </c>
      <c r="E16" s="12" t="s">
        <v>59</v>
      </c>
      <c r="F16" s="12" t="s">
        <v>60</v>
      </c>
      <c r="G16" s="12" t="s">
        <v>61</v>
      </c>
      <c r="H16" s="12" t="s">
        <v>62</v>
      </c>
      <c r="I16" s="12" t="s">
        <v>63</v>
      </c>
      <c r="J16" s="12" t="s">
        <v>64</v>
      </c>
    </row>
    <row r="17" spans="1:17" ht="15.75" customHeight="1" x14ac:dyDescent="0.25">
      <c r="A17" s="12" t="s">
        <v>65</v>
      </c>
      <c r="B17" s="12" t="s">
        <v>49</v>
      </c>
      <c r="C17" s="12" t="str">
        <f>172&amp;"."&amp;16&amp;"."&amp;H17&amp;"."&amp;$A$2</f>
        <v>172.16.10.3</v>
      </c>
      <c r="D17" s="12" t="s">
        <v>50</v>
      </c>
      <c r="E17" s="12" t="str">
        <f t="shared" ref="E17:E20" si="4">$C$2</f>
        <v>3.3.3.0</v>
      </c>
      <c r="F17"/>
      <c r="G17" s="12" t="s">
        <v>66</v>
      </c>
      <c r="H17" s="12">
        <v>10</v>
      </c>
      <c r="I17" s="29" t="b">
        <f>'Site 1 (HUB)'!I17</f>
        <v>1</v>
      </c>
      <c r="J17"/>
    </row>
    <row r="18" spans="1:17" ht="15.75" customHeight="1" x14ac:dyDescent="0.25">
      <c r="A18" s="12" t="s">
        <v>67</v>
      </c>
      <c r="B18" s="12" t="s">
        <v>51</v>
      </c>
      <c r="C18" s="12" t="str">
        <f>172&amp;"."&amp;16&amp;"."&amp;H18&amp;"."&amp;$A$2</f>
        <v>172.16.20.3</v>
      </c>
      <c r="D18" s="12" t="s">
        <v>50</v>
      </c>
      <c r="E18" s="12" t="str">
        <f t="shared" si="4"/>
        <v>3.3.3.0</v>
      </c>
      <c r="F18"/>
      <c r="G18" s="12" t="s">
        <v>66</v>
      </c>
      <c r="H18" s="12">
        <v>20</v>
      </c>
      <c r="I18" s="29" t="b" cm="1">
        <f>'Site 1 (HUB)'!I18</f>
        <v>0</v>
      </c>
      <c r="J18"/>
    </row>
    <row r="19" spans="1:17" ht="15.75" customHeight="1" x14ac:dyDescent="0.25">
      <c r="A19" s="12" t="s">
        <v>68</v>
      </c>
      <c r="B19" s="12" t="s">
        <v>52</v>
      </c>
      <c r="C19" s="12" t="str">
        <f>172&amp;"."&amp;16&amp;"."&amp;H19&amp;"."&amp;$A$2</f>
        <v>172.16.30.3</v>
      </c>
      <c r="D19" s="12" t="s">
        <v>50</v>
      </c>
      <c r="E19" s="12" t="str">
        <f t="shared" si="4"/>
        <v>3.3.3.0</v>
      </c>
      <c r="F19"/>
      <c r="G19" s="12" t="s">
        <v>66</v>
      </c>
      <c r="H19" s="12">
        <v>30</v>
      </c>
      <c r="I19" s="29" t="b">
        <f>'Site 1 (HUB)'!I19</f>
        <v>1</v>
      </c>
      <c r="J19"/>
    </row>
    <row r="20" spans="1:17" ht="15.75" customHeight="1" x14ac:dyDescent="0.25">
      <c r="A20" s="12" t="s">
        <v>69</v>
      </c>
      <c r="B20" s="12" t="s">
        <v>53</v>
      </c>
      <c r="C20" s="12" t="str">
        <f t="shared" ref="C20" si="5">172&amp;"."&amp;16&amp;"."&amp;H20&amp;"."&amp;$A$2</f>
        <v>172.16.40.3</v>
      </c>
      <c r="D20" s="12" t="s">
        <v>50</v>
      </c>
      <c r="E20" s="12" t="str">
        <f t="shared" si="4"/>
        <v>3.3.3.0</v>
      </c>
      <c r="F20"/>
      <c r="G20" s="12" t="s">
        <v>66</v>
      </c>
      <c r="H20" s="12">
        <v>40</v>
      </c>
      <c r="I20" s="29" t="b">
        <f>'Site 1 (HUB)'!I20</f>
        <v>1</v>
      </c>
      <c r="J20"/>
    </row>
    <row r="21" spans="1:17" ht="15.75" customHeight="1" x14ac:dyDescent="0.25"/>
    <row r="22" spans="1:17" ht="16.5" customHeight="1" x14ac:dyDescent="0.25">
      <c r="A22" s="12" t="s">
        <v>0</v>
      </c>
      <c r="B22" s="12" t="s">
        <v>3</v>
      </c>
      <c r="C22" s="12" t="s">
        <v>4</v>
      </c>
      <c r="D22" s="12" t="s">
        <v>5</v>
      </c>
      <c r="E22" s="12" t="s">
        <v>6</v>
      </c>
      <c r="F22" s="12" t="s">
        <v>70</v>
      </c>
      <c r="G22" s="1" t="s">
        <v>71</v>
      </c>
      <c r="H22" s="1" t="s">
        <v>72</v>
      </c>
    </row>
    <row r="23" spans="1:17" ht="15.75" customHeight="1" x14ac:dyDescent="0.25">
      <c r="A23" s="12">
        <f>$A$2</f>
        <v>3</v>
      </c>
      <c r="B23" s="12" t="str">
        <f>$D$2</f>
        <v>admin</v>
      </c>
      <c r="C23" s="12" t="str">
        <f>$E$2</f>
        <v>$9$0nNdTjfcaOQFlP$4VgON16XmZXlfGr4BcOzEN7OoRxfPIAcXDQ0afwx67k</v>
      </c>
      <c r="D23" s="12" t="str">
        <f>$F$2</f>
        <v>0 - 15</v>
      </c>
      <c r="E23" s="12" t="str">
        <f>$G$2</f>
        <v>$9$0nNdTjfcaOQFlP$4VgON16XmZXlfGr4BcOzEN7OoRxfPIAcXDQ0afwx67k</v>
      </c>
      <c r="F23" s="12">
        <v>2</v>
      </c>
      <c r="G23" s="2"/>
      <c r="H23" s="30" t="s">
        <v>73</v>
      </c>
    </row>
    <row r="24" spans="1:17" ht="15.75" customHeight="1" x14ac:dyDescent="0.25"/>
    <row r="25" spans="1:17" ht="27.9" customHeight="1" x14ac:dyDescent="0.25">
      <c r="A25" s="13" t="s">
        <v>74</v>
      </c>
      <c r="B25" s="13" t="s">
        <v>75</v>
      </c>
      <c r="C25" s="13" t="s">
        <v>76</v>
      </c>
      <c r="D25" s="13" t="s">
        <v>42</v>
      </c>
      <c r="E25" s="13" t="s">
        <v>43</v>
      </c>
      <c r="F25" s="13" t="s">
        <v>77</v>
      </c>
      <c r="G25" s="13" t="s">
        <v>78</v>
      </c>
      <c r="H25" s="13" t="s">
        <v>79</v>
      </c>
      <c r="I25" s="13" t="s">
        <v>80</v>
      </c>
      <c r="J25" s="13" t="s">
        <v>1</v>
      </c>
      <c r="K25" s="13" t="s">
        <v>81</v>
      </c>
      <c r="L25" s="25" t="s">
        <v>82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10.3.10.2</v>
      </c>
      <c r="D26" s="7" t="str">
        <f>$E$5</f>
        <v>10.3.10.1</v>
      </c>
      <c r="E26" s="7" t="str">
        <f>$F$5</f>
        <v>255.255.255.0</v>
      </c>
      <c r="F26" s="7">
        <v>49</v>
      </c>
      <c r="G26" s="7">
        <v>1</v>
      </c>
      <c r="H26" s="10">
        <v>1</v>
      </c>
      <c r="I26" s="7" t="s">
        <v>129</v>
      </c>
      <c r="J26" s="2" t="s">
        <v>127</v>
      </c>
      <c r="K26" s="2">
        <f>IF($A26=1,F26-G26-H26*$F$23-2-IF(OR(UPPER($G$23)="SPAN",UPPER($G$23)="RSPAN"),1,0),F26-G26-(1+H26)*$F$23-1)</f>
        <v>44</v>
      </c>
      <c r="M26" s="31"/>
      <c r="N26" s="31"/>
      <c r="O26" s="31"/>
      <c r="P26" s="31"/>
      <c r="Q26" s="31"/>
    </row>
    <row r="27" spans="1:17" ht="15.75" customHeight="1" x14ac:dyDescent="0.25"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/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dataValidations count="9">
    <dataValidation type="list" sqref="G23" xr:uid="{00000000-0002-0000-0100-000000000000}">
      <formula1>"SPAN,RSPAN,ERSPAN"</formula1>
    </dataValidation>
    <dataValidation type="list" sqref="L2" xr:uid="{00000000-0002-0000-0100-000001000000}">
      <formula1>"OFF,STRICT,LOOSE"</formula1>
    </dataValidation>
    <dataValidation type="list" sqref="O2:P2 S2 M26:N56" xr:uid="{00000000-0002-0000-0100-000003000000}">
      <formula1>"OLD,NEW"</formula1>
    </dataValidation>
    <dataValidation type="list" sqref="Q2 O26:O56" xr:uid="{00000000-0002-0000-0100-000004000000}">
      <formula1>"LEGACY,AUTH,ACCESS_SESSION"</formula1>
    </dataValidation>
    <dataValidation type="list" sqref="R2" xr:uid="{00000000-0002-0000-0100-000005000000}">
      <formula1>"CLASSIC,NAMED"</formula1>
    </dataValidation>
    <dataValidation type="list" sqref="T2" xr:uid="{00000000-0002-0000-0100-000006000000}">
      <formula1>"IKEV1,IKEV2"</formula1>
    </dataValidation>
    <dataValidation type="list" sqref="U2 P26:P56" xr:uid="{00000000-0002-0000-0100-000007000000}">
      <formula1>"AUTO,5,8,9"</formula1>
    </dataValidation>
    <dataValidation type="list" sqref="V2 Q26:Q56" xr:uid="{00000000-0002-0000-0100-000008000000}">
      <formula1>"AUTO,DOT1Q_CMD,NO_CMD"</formula1>
    </dataValidation>
    <dataValidation type="custom" allowBlank="1" showInputMessage="1" showErrorMessage="1" sqref="I26" xr:uid="{67E4AE03-2DF0-440B-B572-B891D49BFDE5}">
      <formula1>IF(I26="",TRUE,SUM(--_xlfn.TEXTAFTER(_xlfn.TEXTSPLIT(I26,"-"),"."))&lt;=K26)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G38" sqref="G38"/>
    </sheetView>
  </sheetViews>
  <sheetFormatPr defaultRowHeight="13.2" x14ac:dyDescent="0.25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5">
      <c r="A1" s="15" t="s">
        <v>59</v>
      </c>
      <c r="B1" s="15" t="s">
        <v>60</v>
      </c>
      <c r="C1" s="15" t="s">
        <v>84</v>
      </c>
      <c r="D1" s="15" t="s">
        <v>85</v>
      </c>
      <c r="E1" s="15" t="s">
        <v>86</v>
      </c>
      <c r="G1" s="17" t="s">
        <v>87</v>
      </c>
      <c r="H1" s="17" t="s">
        <v>88</v>
      </c>
    </row>
    <row r="2" spans="1:8" ht="26.4" x14ac:dyDescent="0.25">
      <c r="A2" s="16" t="s">
        <v>49</v>
      </c>
      <c r="B2" s="16" t="s">
        <v>9</v>
      </c>
      <c r="C2" s="16" t="s">
        <v>89</v>
      </c>
      <c r="D2" s="16">
        <v>67</v>
      </c>
      <c r="E2" s="16" t="s">
        <v>90</v>
      </c>
      <c r="G2" s="18" t="s">
        <v>91</v>
      </c>
      <c r="H2" s="18" t="s">
        <v>92</v>
      </c>
    </row>
    <row r="3" spans="1:8" ht="39.6" x14ac:dyDescent="0.25">
      <c r="A3" s="16" t="s">
        <v>49</v>
      </c>
      <c r="B3" s="16" t="s">
        <v>49</v>
      </c>
      <c r="C3" s="16" t="s">
        <v>93</v>
      </c>
      <c r="D3" s="16" t="s">
        <v>94</v>
      </c>
      <c r="E3" s="16" t="s">
        <v>90</v>
      </c>
      <c r="G3" s="18" t="s">
        <v>95</v>
      </c>
      <c r="H3" s="18" t="s">
        <v>96</v>
      </c>
    </row>
    <row r="4" spans="1:8" ht="26.4" x14ac:dyDescent="0.25">
      <c r="A4" s="16" t="s">
        <v>51</v>
      </c>
      <c r="B4" s="16" t="s">
        <v>9</v>
      </c>
      <c r="C4" s="16" t="s">
        <v>89</v>
      </c>
      <c r="D4" s="16">
        <v>67</v>
      </c>
      <c r="E4" s="16" t="s">
        <v>90</v>
      </c>
      <c r="G4" s="18" t="s">
        <v>97</v>
      </c>
      <c r="H4" s="18" t="s">
        <v>98</v>
      </c>
    </row>
    <row r="5" spans="1:8" ht="26.4" x14ac:dyDescent="0.25">
      <c r="A5" s="16" t="s">
        <v>51</v>
      </c>
      <c r="B5" s="16" t="s">
        <v>51</v>
      </c>
      <c r="C5" s="16" t="s">
        <v>93</v>
      </c>
      <c r="D5" s="16" t="s">
        <v>94</v>
      </c>
      <c r="E5" s="16" t="s">
        <v>99</v>
      </c>
      <c r="G5" s="18" t="s">
        <v>9</v>
      </c>
      <c r="H5" s="18" t="s">
        <v>100</v>
      </c>
    </row>
    <row r="6" spans="1:8" ht="26.4" x14ac:dyDescent="0.25">
      <c r="A6" s="16" t="s">
        <v>51</v>
      </c>
      <c r="B6" s="16" t="s">
        <v>101</v>
      </c>
      <c r="C6" s="16" t="s">
        <v>89</v>
      </c>
      <c r="D6" s="16">
        <v>53</v>
      </c>
      <c r="E6" s="16" t="s">
        <v>90</v>
      </c>
      <c r="G6" s="18" t="s">
        <v>102</v>
      </c>
      <c r="H6" s="18" t="s">
        <v>103</v>
      </c>
    </row>
    <row r="7" spans="1:8" ht="26.4" x14ac:dyDescent="0.25">
      <c r="A7" s="16" t="s">
        <v>51</v>
      </c>
      <c r="B7" s="16" t="s">
        <v>101</v>
      </c>
      <c r="C7" s="16" t="s">
        <v>104</v>
      </c>
      <c r="D7" s="16">
        <v>53</v>
      </c>
      <c r="E7" s="16" t="s">
        <v>90</v>
      </c>
      <c r="G7" s="18" t="s">
        <v>105</v>
      </c>
      <c r="H7" s="18" t="s">
        <v>106</v>
      </c>
    </row>
    <row r="8" spans="1:8" ht="39.6" x14ac:dyDescent="0.25">
      <c r="A8" s="16" t="s">
        <v>51</v>
      </c>
      <c r="B8" s="16" t="s">
        <v>107</v>
      </c>
      <c r="C8" s="16" t="s">
        <v>104</v>
      </c>
      <c r="D8" s="16">
        <v>80</v>
      </c>
      <c r="E8" s="16" t="s">
        <v>90</v>
      </c>
      <c r="G8" s="18" t="s">
        <v>54</v>
      </c>
      <c r="H8" s="18" t="s">
        <v>108</v>
      </c>
    </row>
    <row r="9" spans="1:8" ht="26.4" x14ac:dyDescent="0.25">
      <c r="A9" s="16" t="s">
        <v>51</v>
      </c>
      <c r="B9" s="16" t="s">
        <v>107</v>
      </c>
      <c r="C9" s="16" t="s">
        <v>104</v>
      </c>
      <c r="D9" s="16">
        <v>443</v>
      </c>
      <c r="E9" s="16" t="s">
        <v>90</v>
      </c>
      <c r="G9" s="18" t="s">
        <v>109</v>
      </c>
      <c r="H9" s="18" t="s">
        <v>110</v>
      </c>
    </row>
    <row r="10" spans="1:8" x14ac:dyDescent="0.25">
      <c r="A10" s="16" t="s">
        <v>52</v>
      </c>
      <c r="B10" s="16" t="s">
        <v>9</v>
      </c>
      <c r="C10" s="16" t="s">
        <v>89</v>
      </c>
      <c r="D10" s="16">
        <v>67</v>
      </c>
      <c r="E10" s="16" t="s">
        <v>90</v>
      </c>
    </row>
    <row r="11" spans="1:8" x14ac:dyDescent="0.25">
      <c r="A11" s="16" t="s">
        <v>52</v>
      </c>
      <c r="B11" s="16" t="s">
        <v>52</v>
      </c>
      <c r="C11" s="16" t="s">
        <v>93</v>
      </c>
      <c r="D11" s="16" t="s">
        <v>94</v>
      </c>
      <c r="E11" s="16" t="s">
        <v>90</v>
      </c>
    </row>
    <row r="12" spans="1:8" x14ac:dyDescent="0.25">
      <c r="A12" s="16" t="s">
        <v>53</v>
      </c>
      <c r="B12" s="16" t="s">
        <v>9</v>
      </c>
      <c r="C12" s="16" t="s">
        <v>89</v>
      </c>
      <c r="D12" s="16">
        <v>67</v>
      </c>
      <c r="E12" s="16" t="s">
        <v>90</v>
      </c>
    </row>
    <row r="13" spans="1:8" x14ac:dyDescent="0.25">
      <c r="A13" s="16" t="s">
        <v>53</v>
      </c>
      <c r="B13" s="16" t="s">
        <v>53</v>
      </c>
      <c r="C13" s="16" t="s">
        <v>93</v>
      </c>
      <c r="D13" s="16" t="s">
        <v>94</v>
      </c>
      <c r="E13" s="16" t="s">
        <v>90</v>
      </c>
    </row>
    <row r="14" spans="1:8" x14ac:dyDescent="0.25">
      <c r="G14" t="s">
        <v>111</v>
      </c>
      <c r="H14" t="s">
        <v>112</v>
      </c>
    </row>
    <row r="15" spans="1:8" x14ac:dyDescent="0.25">
      <c r="G15" t="s">
        <v>113</v>
      </c>
      <c r="H15" t="s">
        <v>114</v>
      </c>
    </row>
  </sheetData>
  <dataValidations count="4">
    <dataValidation type="list" sqref="A2:A200" xr:uid="{00000000-0002-0000-0200-000000000000}">
      <formula1>"MGMT,INET,UNET,PA,MONITORING"</formula1>
    </dataValidation>
    <dataValidation type="list" sqref="B2:B200" xr:uid="{00000000-0002-0000-0200-000001000000}">
      <formula1>"MGMT,INET,UNET,PA,MONITORING,INTERNET,ANY,DNS,DHCP,TACACS,SYSLOG,SELF"</formula1>
    </dataValidation>
    <dataValidation type="list" sqref="C2:C200" xr:uid="{00000000-0002-0000-0200-000002000000}">
      <formula1>"ip,tcp,udp,icmp,gre,esp,ah"</formula1>
    </dataValidation>
    <dataValidation type="list" sqref="E2:E200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2026-09-26T10:38:11Z</dcterms:modified>
</cp:coreProperties>
</file>