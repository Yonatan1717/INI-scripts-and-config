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yonat\Videos\INI\test\network_proj_dns_updated\NO_MPLS_SAD\"/>
    </mc:Choice>
  </mc:AlternateContent>
  <xr:revisionPtr revIDLastSave="0" documentId="13_ncr:1_{AC9EB89D-D4C8-4E49-AEC6-B889D00C261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Site 1 (HUB)" sheetId="1" r:id="rId1"/>
    <sheet name="Site 2" sheetId="2" r:id="rId2"/>
    <sheet name="Site 3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6" i="1" l="1"/>
  <c r="K27" i="1"/>
  <c r="K26" i="2"/>
  <c r="K26" i="4"/>
  <c r="E27" i="1"/>
  <c r="E26" i="4"/>
  <c r="D26" i="4"/>
  <c r="A26" i="4"/>
  <c r="C26" i="4" s="1"/>
  <c r="E26" i="2"/>
  <c r="D26" i="2"/>
  <c r="A26" i="2"/>
  <c r="C26" i="2" s="1"/>
  <c r="A23" i="4"/>
  <c r="I20" i="4"/>
  <c r="C20" i="4"/>
  <c r="I19" i="4" a="1"/>
  <c r="I19" i="4" s="1"/>
  <c r="C19" i="4"/>
  <c r="I18" i="4" a="1"/>
  <c r="I18" i="4" s="1"/>
  <c r="C18" i="4"/>
  <c r="I17" i="4" a="1"/>
  <c r="I17" i="4" s="1"/>
  <c r="C17" i="4"/>
  <c r="C14" i="4"/>
  <c r="C13" i="4"/>
  <c r="C12" i="4"/>
  <c r="C11" i="4"/>
  <c r="D8" i="4"/>
  <c r="H8" i="4" s="1"/>
  <c r="D7" i="4"/>
  <c r="H7" i="4" s="1"/>
  <c r="D6" i="4"/>
  <c r="H6" i="4" s="1"/>
  <c r="D5" i="4"/>
  <c r="H5" i="4" s="1"/>
  <c r="H2" i="4"/>
  <c r="C2" i="4"/>
  <c r="E19" i="4" s="1"/>
  <c r="A23" i="2"/>
  <c r="I20" i="2"/>
  <c r="C20" i="2"/>
  <c r="I19" i="2" a="1"/>
  <c r="I19" i="2" s="1"/>
  <c r="E19" i="2"/>
  <c r="C19" i="2"/>
  <c r="I18" i="2" a="1"/>
  <c r="I18" i="2"/>
  <c r="E18" i="2"/>
  <c r="C18" i="2"/>
  <c r="I17" i="2" a="1"/>
  <c r="I17" i="2" s="1"/>
  <c r="C17" i="2"/>
  <c r="C14" i="2"/>
  <c r="C13" i="2"/>
  <c r="C12" i="2"/>
  <c r="C11" i="2"/>
  <c r="D8" i="2"/>
  <c r="G8" i="2" s="1"/>
  <c r="D7" i="2"/>
  <c r="E7" i="2" s="1"/>
  <c r="H6" i="2"/>
  <c r="G6" i="2"/>
  <c r="D6" i="2"/>
  <c r="E6" i="2" s="1"/>
  <c r="H5" i="2"/>
  <c r="G5" i="2"/>
  <c r="D5" i="2"/>
  <c r="E5" i="2" s="1"/>
  <c r="H2" i="2"/>
  <c r="C2" i="2"/>
  <c r="E20" i="2" s="1"/>
  <c r="E26" i="1"/>
  <c r="A26" i="1"/>
  <c r="A23" i="1"/>
  <c r="E20" i="1"/>
  <c r="C20" i="1"/>
  <c r="C19" i="1"/>
  <c r="C18" i="1"/>
  <c r="C17" i="1"/>
  <c r="C14" i="1"/>
  <c r="C13" i="1"/>
  <c r="C12" i="1"/>
  <c r="C11" i="1"/>
  <c r="D8" i="1"/>
  <c r="E8" i="1" s="1"/>
  <c r="D7" i="1"/>
  <c r="E7" i="1" s="1"/>
  <c r="H6" i="1"/>
  <c r="G6" i="1"/>
  <c r="D6" i="1"/>
  <c r="E6" i="1" s="1"/>
  <c r="D5" i="1"/>
  <c r="G5" i="1" s="1"/>
  <c r="C26" i="1" s="1"/>
  <c r="C2" i="1"/>
  <c r="E17" i="1" s="1"/>
  <c r="G7" i="1" l="1"/>
  <c r="H7" i="1"/>
  <c r="C27" i="1"/>
  <c r="E7" i="4"/>
  <c r="E18" i="4"/>
  <c r="G7" i="4"/>
  <c r="G8" i="4"/>
  <c r="E8" i="4"/>
  <c r="E20" i="4"/>
  <c r="E5" i="4"/>
  <c r="E6" i="4"/>
  <c r="E17" i="4"/>
  <c r="G5" i="4"/>
  <c r="G6" i="4"/>
  <c r="E18" i="1"/>
  <c r="E19" i="1"/>
  <c r="E17" i="2"/>
  <c r="G7" i="2"/>
  <c r="H8" i="1"/>
  <c r="H7" i="2"/>
  <c r="G8" i="1"/>
  <c r="E5" i="1"/>
  <c r="H5" i="1"/>
  <c r="H8" i="2"/>
  <c r="E8" i="2"/>
  <c r="D26" i="1" l="1"/>
  <c r="D2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<sst xmlns="http://schemas.openxmlformats.org/spreadsheetml/2006/main" count="277" uniqueCount="59">
  <si>
    <t>site</t>
  </si>
  <si>
    <t>intf_prefix</t>
  </si>
  <si>
    <t>router-id</t>
  </si>
  <si>
    <t>brukernavn</t>
  </si>
  <si>
    <t>passord</t>
  </si>
  <si>
    <t>vty_lines</t>
  </si>
  <si>
    <t>secret</t>
  </si>
  <si>
    <t>tacacs_key</t>
  </si>
  <si>
    <t>DHCP</t>
  </si>
  <si>
    <t>g0/</t>
  </si>
  <si>
    <t>admin</t>
  </si>
  <si>
    <t>$9$0nNdTjfcaOQFlP$4VgON16XmZXlfGr4BcOzEN7OoRxfPIAcXDQ0afwx67k</t>
  </si>
  <si>
    <t>0 - 15</t>
  </si>
  <si>
    <t>TACACS-KEY</t>
  </si>
  <si>
    <t>vrf</t>
  </si>
  <si>
    <t>vlan</t>
  </si>
  <si>
    <t>interface</t>
  </si>
  <si>
    <t>nett id</t>
  </si>
  <si>
    <t>gateway</t>
  </si>
  <si>
    <t>mask</t>
  </si>
  <si>
    <t>address min</t>
  </si>
  <si>
    <t>address max</t>
  </si>
  <si>
    <t>antall-res</t>
  </si>
  <si>
    <t>pri-afxx</t>
  </si>
  <si>
    <t>pri-1-10</t>
  </si>
  <si>
    <t>MGMT</t>
  </si>
  <si>
    <t>255.255.0.0</t>
  </si>
  <si>
    <t>INET</t>
  </si>
  <si>
    <t>UNET</t>
  </si>
  <si>
    <t>PA</t>
  </si>
  <si>
    <t>loopback</t>
  </si>
  <si>
    <t>laddr</t>
  </si>
  <si>
    <t>tunnel id</t>
  </si>
  <si>
    <t>ip address</t>
  </si>
  <si>
    <t>source</t>
  </si>
  <si>
    <t>destination</t>
  </si>
  <si>
    <t>gre mode</t>
  </si>
  <si>
    <t>network-id</t>
  </si>
  <si>
    <t>ipsec</t>
  </si>
  <si>
    <t>ipsec key</t>
  </si>
  <si>
    <t>tunnel 10</t>
  </si>
  <si>
    <t>255.255.255.0</t>
  </si>
  <si>
    <t>multipoint</t>
  </si>
  <si>
    <t>tunnel 20</t>
  </si>
  <si>
    <t>tunnel 30</t>
  </si>
  <si>
    <t>tunnel 40</t>
  </si>
  <si>
    <t>SW</t>
  </si>
  <si>
    <t>MGMT Vlan</t>
  </si>
  <si>
    <t>MGMT ip</t>
  </si>
  <si>
    <t>num_ports_tot</t>
  </si>
  <si>
    <t>skiped_ports</t>
  </si>
  <si>
    <t>num_downlink</t>
  </si>
  <si>
    <t>vlan-antall</t>
  </si>
  <si>
    <t>num_port_ledig</t>
  </si>
  <si>
    <t>10.1-200.1-20.5-30.5-40.2</t>
  </si>
  <si>
    <t>dns_servers</t>
  </si>
  <si>
    <t>192.168.255.1</t>
  </si>
  <si>
    <t>etherchan_num</t>
  </si>
  <si>
    <t>span_port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</si>
</sst>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4" x14ac:knownFonts="1">
    <font>
      <sz val="10"/>
      <color rgb="FF000000"/>
      <name val="Arial"/>
    </font>
    <font>
      <sz val="10"/>
      <color theme="1"/>
      <name val="Arial"/>
    </font>
    <font>
      <b/>
      <sz val="11"/>
      <color rgb="FF000000"/>
      <name val="Arial"/>
    </font>
    <font>
      <b/>
      <sz val="11"/>
      <color theme="1"/>
      <name val="Arial"/>
    </font>
    <font>
      <sz val="11"/>
      <color rgb="FF000000"/>
      <name val="Arial"/>
    </font>
    <font>
      <sz val="11"/>
      <color theme="1"/>
      <name val="Arial"/>
    </font>
    <font>
      <b/>
      <sz val="10"/>
      <color rgb="FF000000"/>
      <name val="Arial"/>
    </font>
    <font>
      <sz val="10"/>
      <color rgb="FF000000"/>
      <name val="Arial"/>
    </font>
    <font>
      <sz val="11"/>
      <color rgb="FF000000"/>
      <name val="Arial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rgb="FF000000"/>
      <name val="Arial"/>
      <family val="2"/>
    </font>
    <font>
      <b/>
      <sz val="11"/>
      <name val="Arial"/>
      <family val="2"/>
    </font>
    <font>
      <sz val="1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vertical="center"/>
    </xf>
    <xf numFmtId="0" fontId="7" fillId="0" borderId="0" xfId="0" applyFont="1"/>
    <xf numFmtId="0" fontId="8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9" fillId="0" borderId="0" xfId="0" applyFont="1" applyAlignment="1">
      <alignment vertical="center"/>
    </xf>
    <xf numFmtId="0" fontId="13" fillId="0" borderId="0" xfId="0" applyFont="1" applyAlignment="1">
      <alignment horizontal="left" vertical="center"/>
    </xf>
    <xf numFmtId="0" fontId="12" fillId="0" borderId="0" xfId="0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left" vertical="center"/>
    </xf>
  </cellXfs>
  <cellStyles count="1">
    <cellStyle name="Normal" xfId="0" builtinId="0"/>
  </cellStyles>
  <dxfs count="162">
    <dxf>
      <font>
        <color theme="1"/>
      </font>
      <numFmt numFmtId="0" formatCode="General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  <numFmt numFmtId="0" formatCode="General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0" formatCode="General"/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left" vertical="center" textRotation="0" wrapText="0" indent="0" justifyLastLine="0" shrinkToFit="0" readingOrder="0"/>
    </dxf>
    <dxf>
      <font>
        <color theme="1"/>
      </font>
    </dxf>
    <dxf>
      <font>
        <sz val="11"/>
        <color theme="1"/>
      </font>
    </dxf>
    <dxf>
      <font>
        <sz val="11"/>
      </font>
    </dxf>
    <dxf>
      <font>
        <u val="none"/>
        <sz val="11"/>
        <color rgb="FF000000"/>
        <name val="Arial"/>
        <scheme val="none"/>
      </font>
    </dxf>
    <dxf>
      <font>
        <u val="none"/>
        <sz val="11"/>
        <color rgb="FF000000"/>
        <name val="Arial"/>
        <scheme val="none"/>
      </font>
    </dxf>
    <dxf>
      <font>
        <sz val="11"/>
      </font>
    </dxf>
    <dxf>
      <font>
        <sz val="11"/>
      </font>
      <numFmt numFmtId="0" formatCode="General"/>
    </dxf>
    <dxf>
      <font>
        <sz val="11"/>
      </font>
      <numFmt numFmtId="0" formatCode="General"/>
    </dxf>
    <dxf>
      <font>
        <sz val="11"/>
      </font>
    </dxf>
    <dxf>
      <font>
        <sz val="11"/>
      </font>
    </dxf>
    <dxf>
      <font>
        <b/>
        <strike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color theme="1"/>
      </font>
      <alignment horizontal="general" vertical="center" textRotation="0" wrapText="0" indent="0" justifyLastLine="0" shrinkToFit="0" readingOrder="0"/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numFmt numFmtId="0" formatCode="General"/>
    </dxf>
    <dxf>
      <font>
        <u val="none"/>
        <sz val="11"/>
        <color rgb="FF000000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  <dxf>
      <font>
        <u val="none"/>
        <sz val="10"/>
        <color theme="1"/>
        <name val="Arial"/>
        <scheme val="none"/>
      </font>
    </dxf>
  </dxfs>
  <tableStyles count="1" defaultTableStyle="TableStyleMedium2" defaultPivotStyle="PivotStyleLight16">
    <tableStyle name="Table Style 1" pivot="0" count="0" xr9:uid="{3896F4F4-B33D-4D2A-9235-AB6CC9464053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Tabell5" displayName="Tabell5" ref="A1:J2">
  <tableColumns count="10">
    <tableColumn id="1" xr3:uid="{00000000-0010-0000-0000-000001000000}" name="site"/>
    <tableColumn id="2" xr3:uid="{00000000-0010-0000-0000-000002000000}" name="intf_prefix"/>
    <tableColumn id="3" xr3:uid="{00000000-0010-0000-0000-000003000000}" name="router-id"/>
    <tableColumn id="4" xr3:uid="{00000000-0010-0000-0000-000004000000}" name="brukernavn"/>
    <tableColumn id="5" xr3:uid="{00000000-0010-0000-0000-000005000000}" name="passord"/>
    <tableColumn id="6" xr3:uid="{00000000-0010-0000-0000-000006000000}" name="vty_lines"/>
    <tableColumn id="7" xr3:uid="{00000000-0010-0000-0000-000007000000}" name="secret" dataDxfId="161"/>
    <tableColumn id="8" xr3:uid="{00000000-0010-0000-0000-000008000000}" name="tacacs_key" dataDxfId="160"/>
    <tableColumn id="9" xr3:uid="{00000000-0010-0000-0000-000009000000}" name="DHCP" dataDxfId="159"/>
    <tableColumn id="10" xr3:uid="{B5E168AC-AF43-4637-AE64-122A38B00215}" name="dns_servers" dataDxfId="158"/>
  </tableColumns>
  <tableStyleInfo name="TableStyleLight12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1000000}" name="Tabell6" displayName="Tabell6" ref="A4:K8">
  <tableColumns count="11">
    <tableColumn id="1" xr3:uid="{00000000-0010-0000-0100-000001000000}" name="vrf"/>
    <tableColumn id="2" xr3:uid="{00000000-0010-0000-0100-000002000000}" name="vlan"/>
    <tableColumn id="3" xr3:uid="{00000000-0010-0000-0100-000003000000}" name="interface"/>
    <tableColumn id="4" xr3:uid="{00000000-0010-0000-0100-000004000000}" name="nett id"/>
    <tableColumn id="5" xr3:uid="{00000000-0010-0000-0100-000005000000}" name="gateway"/>
    <tableColumn id="6" xr3:uid="{00000000-0010-0000-0100-000006000000}" name="mask"/>
    <tableColumn id="7" xr3:uid="{00000000-0010-0000-0100-000007000000}" name="address min"/>
    <tableColumn id="8" xr3:uid="{00000000-0010-0000-0100-000008000000}" name="address max"/>
    <tableColumn id="9" xr3:uid="{00000000-0010-0000-0100-000009000000}" name="antall-res" dataDxfId="157"/>
    <tableColumn id="10" xr3:uid="{00000000-0010-0000-0100-00000A000000}" name="pri-afxx"/>
    <tableColumn id="11" xr3:uid="{00000000-0010-0000-0100-00000B000000}" name="pri-1-10"/>
  </tableColumns>
  <tableStyleInfo name="TableStyleLight1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2000000}" name="Tabell7" displayName="Tabell7" ref="A10:C14">
  <tableColumns count="3">
    <tableColumn id="1" xr3:uid="{00000000-0010-0000-0200-000001000000}" name="vrf"/>
    <tableColumn id="3" xr3:uid="{00000000-0010-0000-0200-000003000000}" name="loopback"/>
    <tableColumn id="4" xr3:uid="{00000000-0010-0000-0200-000004000000}" name="laddr">
      <calculatedColumnFormula>$A$2&amp;"."&amp;$A$2&amp;"."&amp;$A$2&amp;"."&amp;(B11)</calculatedColumnFormula>
    </tableColumn>
  </tableColumns>
  <tableStyleInfo name="TableStyleLight12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3000000}" name="Tabell8" displayName="Tabell8" ref="A16:J20">
  <tableColumns count="10">
    <tableColumn id="1" xr3:uid="{00000000-0010-0000-0300-000001000000}" name="tunnel id"/>
    <tableColumn id="2" xr3:uid="{00000000-0010-0000-0300-000002000000}" name="vrf"/>
    <tableColumn id="3" xr3:uid="{00000000-0010-0000-0300-000003000000}" name="ip address">
      <calculatedColumnFormula>172&amp;"."&amp;16&amp;"."&amp;0&amp;"."&amp;(H17+$A$2)</calculatedColumnFormula>
    </tableColumn>
    <tableColumn id="4" xr3:uid="{00000000-0010-0000-0300-000004000000}" name="mask"/>
    <tableColumn id="5" xr3:uid="{00000000-0010-0000-0300-000005000000}" name="source" dataDxfId="156">
      <calculatedColumnFormula>$C$2</calculatedColumnFormula>
    </tableColumn>
    <tableColumn id="6" xr3:uid="{00000000-0010-0000-0300-000006000000}" name="destination"/>
    <tableColumn id="7" xr3:uid="{00000000-0010-0000-0300-000007000000}" name="gre mode"/>
    <tableColumn id="8" xr3:uid="{00000000-0010-0000-0300-000008000000}" name="network-id"/>
    <tableColumn id="9" xr3:uid="{00000000-0010-0000-0300-000009000000}" name="ipsec"/>
    <tableColumn id="10" xr3:uid="{00000000-0010-0000-0300-00000A000000}" name="ipsec key"/>
  </tableColumns>
  <tableStyleInfo name="TableStyleLight12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04000000}" name="Tabell131921" displayName="Tabell131921" ref="A22:G23" dataDxfId="155">
  <tableColumns count="7">
    <tableColumn id="1" xr3:uid="{00000000-0010-0000-0400-000001000000}" name="site" dataDxfId="154">
      <calculatedColumnFormula>A2</calculatedColumnFormula>
    </tableColumn>
    <tableColumn id="2" xr3:uid="{00000000-0010-0000-0400-000002000000}" name="brukernavn" dataDxfId="153"/>
    <tableColumn id="4" xr3:uid="{00000000-0010-0000-0400-000004000000}" name="passord" dataDxfId="152"/>
    <tableColumn id="5" xr3:uid="{00000000-0010-0000-0400-000005000000}" name="vty_lines" dataDxfId="151"/>
    <tableColumn id="3" xr3:uid="{00000000-0010-0000-0400-000003000000}" name="secret" dataDxfId="150"/>
    <tableColumn id="6" xr3:uid="{00000000-0010-0000-0400-000006000000}" name="etherchan_num" dataDxfId="149"/>
    <tableColumn id="7" xr3:uid="{2F89DC28-B462-4A4B-9338-E6327171D3B6}" name="span_port" dataDxfId="5"/>
  </tableColumns>
  <tableStyleInfo name="TableStyleLight12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5000000}" name="Tabell1618242825" displayName="Tabell1618242825" ref="A25:K27" totalsRowShown="0" headerRowDxfId="148">
  <tableColumns count="11">
    <tableColumn id="1" xr3:uid="{00000000-0010-0000-0500-000001000000}" name="SW" dataDxfId="147">
      <calculatedColumnFormula>(ROW())-(ROW()-1)</calculatedColumnFormula>
    </tableColumn>
    <tableColumn id="2" xr3:uid="{00000000-0010-0000-0500-000002000000}" name="MGMT Vlan" dataDxfId="146"/>
    <tableColumn id="3" xr3:uid="{00000000-0010-0000-0500-000003000000}" name="MGMT ip" dataDxfId="145">
      <calculatedColumnFormula>LEFT($G$5,LEN($G$5)-1)&amp;(RIGHT($G$5,1)+A26)</calculatedColumnFormula>
    </tableColumn>
    <tableColumn id="4" xr3:uid="{00000000-0010-0000-0500-000004000000}" name="gateway" dataDxfId="144">
      <calculatedColumnFormula>$E$5</calculatedColumnFormula>
    </tableColumn>
    <tableColumn id="5" xr3:uid="{00000000-0010-0000-0500-000005000000}" name="mask" dataDxfId="143">
      <calculatedColumnFormula>$F$5</calculatedColumnFormula>
    </tableColumn>
    <tableColumn id="10" xr3:uid="{00000000-0010-0000-0500-00000A000000}" name="num_ports_tot" dataDxfId="142"/>
    <tableColumn id="11" xr3:uid="{00000000-0010-0000-0500-00000B000000}" name="skiped_ports" dataDxfId="141"/>
    <tableColumn id="6" xr3:uid="{00000000-0010-0000-0500-000006000000}" name="num_downlink" dataDxfId="140"/>
    <tableColumn id="7" xr3:uid="{00000000-0010-0000-0500-000007000000}" name="vlan-antall" dataDxfId="139"/>
    <tableColumn id="8" xr3:uid="{00000000-0010-0000-0500-000008000000}" name="intf_prefix" dataDxfId="138"/>
    <tableColumn id="9" xr3:uid="{00000000-0010-0000-0500-000009000000}" name="num_port_ledig" dataDxfId="0">
      <calculatedColumnFormula>IF($A26=1,F26-G26-H26*$F$23-2 - IF($G$23,1,0),F26-G26-(1+H26)*$F$23-1)</calculatedColumnFormula>
    </tableColumn>
  </tableColumns>
  <tableStyleInfo name="TableStyleLight12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abell1" displayName="Tabell1" ref="A1:I2" headerRowDxfId="137" dataDxfId="136" totalsRowDxfId="135">
  <tableColumns count="9">
    <tableColumn id="1" xr3:uid="{00000000-0010-0000-0600-000001000000}" name="site" dataDxfId="134"/>
    <tableColumn id="2" xr3:uid="{00000000-0010-0000-0600-000002000000}" name="intf_prefix" dataDxfId="133"/>
    <tableColumn id="3" xr3:uid="{00000000-0010-0000-0600-000003000000}" name="router-id" dataDxfId="132"/>
    <tableColumn id="4" xr3:uid="{00000000-0010-0000-0600-000004000000}" name="brukernavn" dataDxfId="131"/>
    <tableColumn id="5" xr3:uid="{00000000-0010-0000-0600-000005000000}" name="passord" dataDxfId="130"/>
    <tableColumn id="6" xr3:uid="{00000000-0010-0000-0600-000006000000}" name="vty_lines" dataDxfId="129"/>
    <tableColumn id="7" xr3:uid="{00000000-0010-0000-0600-000007000000}" name="secret" dataDxfId="128"/>
    <tableColumn id="8" xr3:uid="{00000000-0010-0000-0600-000008000000}" name="tacacs_key" dataDxfId="127">
      <calculatedColumnFormula>'Site 1 (HUB)'!H2</calculatedColumnFormula>
    </tableColumn>
    <tableColumn id="9" xr3:uid="{A5DE2194-7404-46E4-B6C2-ABF2C830FF23}" name="dns_servers" dataDxfId="126"/>
  </tableColumns>
  <tableStyleInfo name="TableStyleLight12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7000000}" name="Tabell3" displayName="Tabell3" ref="A10:C14" headerRowDxfId="125" dataDxfId="124" totalsRowDxfId="123">
  <tableColumns count="3">
    <tableColumn id="1" xr3:uid="{00000000-0010-0000-0700-000001000000}" name="vrf" dataDxfId="122"/>
    <tableColumn id="3" xr3:uid="{00000000-0010-0000-0700-000003000000}" name="loopback" dataDxfId="121"/>
    <tableColumn id="4" xr3:uid="{00000000-0010-0000-0700-000004000000}" name="laddr" dataDxfId="120"/>
  </tableColumns>
  <tableStyleInfo name="TableStyleLight12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8000000}" name="Tabell4" displayName="Tabell4" ref="A16:J20" headerRowDxfId="119" dataDxfId="118" totalsRowDxfId="117">
  <tableColumns count="10">
    <tableColumn id="1" xr3:uid="{00000000-0010-0000-0800-000001000000}" name="tunnel id" dataDxfId="116"/>
    <tableColumn id="2" xr3:uid="{00000000-0010-0000-0800-000002000000}" name="vrf" dataDxfId="115"/>
    <tableColumn id="3" xr3:uid="{00000000-0010-0000-0800-000003000000}" name="ip address" dataDxfId="114">
      <calculatedColumnFormula>172&amp;"."&amp;16&amp;"."&amp;0&amp;"."&amp;(H17+$A$2)</calculatedColumnFormula>
    </tableColumn>
    <tableColumn id="4" xr3:uid="{00000000-0010-0000-0800-000004000000}" name="mask" dataDxfId="113"/>
    <tableColumn id="5" xr3:uid="{00000000-0010-0000-0800-000005000000}" name="source" dataDxfId="112">
      <calculatedColumnFormula>$C$2</calculatedColumnFormula>
    </tableColumn>
    <tableColumn id="6" xr3:uid="{00000000-0010-0000-0800-000006000000}" name="destination" dataDxfId="111"/>
    <tableColumn id="7" xr3:uid="{00000000-0010-0000-0800-000007000000}" name="gre mode" dataDxfId="110"/>
    <tableColumn id="8" xr3:uid="{00000000-0010-0000-0800-000008000000}" name="network-id" dataDxfId="109"/>
    <tableColumn id="9" xr3:uid="{00000000-0010-0000-0800-000009000000}" name="ipsec" dataDxfId="108"/>
    <tableColumn id="10" xr3:uid="{00000000-0010-0000-0800-00000A000000}" name="ipsec key" dataDxfId="107"/>
  </tableColumns>
  <tableStyleInfo name="TableStyleLight12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09000000}" name="Tabell13192530" displayName="Tabell13192530" ref="A22:G23" headerRowDxfId="106" dataDxfId="105" totalsRowDxfId="104">
  <tableColumns count="7">
    <tableColumn id="1" xr3:uid="{00000000-0010-0000-0900-000001000000}" name="site" dataDxfId="103">
      <calculatedColumnFormula>A2</calculatedColumnFormula>
    </tableColumn>
    <tableColumn id="4" xr3:uid="{00000000-0010-0000-0900-000004000000}" name="brukernavn" dataDxfId="102"/>
    <tableColumn id="5" xr3:uid="{00000000-0010-0000-0900-000005000000}" name="passord" dataDxfId="101"/>
    <tableColumn id="3" xr3:uid="{00000000-0010-0000-0900-000003000000}" name="vty_lines" dataDxfId="100"/>
    <tableColumn id="2" xr3:uid="{00000000-0010-0000-0900-000002000000}" name="secret" dataDxfId="99"/>
    <tableColumn id="6" xr3:uid="{6E1C64EA-E908-43A5-A19B-99C374EB85DA}" name="etherchan_num" dataDxfId="98"/>
    <tableColumn id="7" xr3:uid="{F98D4D3D-F93C-49B0-A82E-E7735EE28F3A}" name="span_port" dataDxfId="4" totalsRowDxfId="3"/>
  </tableColumns>
  <tableStyleInfo name="TableStyleLight1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B000000}" name="Tabell2" displayName="Tabell2" ref="A4:K8" headerRowDxfId="97" dataDxfId="96" totalsRowDxfId="95">
  <tableColumns count="11">
    <tableColumn id="1" xr3:uid="{00000000-0010-0000-0B00-000001000000}" name="vrf" dataDxfId="94"/>
    <tableColumn id="2" xr3:uid="{00000000-0010-0000-0B00-000002000000}" name="vlan" dataDxfId="93"/>
    <tableColumn id="3" xr3:uid="{00000000-0010-0000-0B00-000003000000}" name="interface" dataDxfId="92"/>
    <tableColumn id="4" xr3:uid="{00000000-0010-0000-0B00-000004000000}" name="nett id" dataDxfId="91"/>
    <tableColumn id="5" xr3:uid="{00000000-0010-0000-0B00-000005000000}" name="gateway" dataDxfId="90"/>
    <tableColumn id="6" xr3:uid="{00000000-0010-0000-0B00-000006000000}" name="mask" dataDxfId="89"/>
    <tableColumn id="7" xr3:uid="{00000000-0010-0000-0B00-000007000000}" name="address min" dataDxfId="88"/>
    <tableColumn id="8" xr3:uid="{00000000-0010-0000-0B00-000008000000}" name="address max" dataDxfId="87"/>
    <tableColumn id="9" xr3:uid="{00000000-0010-0000-0B00-000009000000}" name="antall-res" dataDxfId="86"/>
    <tableColumn id="10" xr3:uid="{00000000-0010-0000-0B00-00000A000000}" name="pri-afxx" dataDxfId="85"/>
    <tableColumn id="11" xr3:uid="{00000000-0010-0000-0B00-00000B000000}" name="pri-1-10" dataDxfId="84"/>
  </tableColumns>
  <tableStyleInfo name="TableStyleLight12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F6D2D0B3-AC19-4330-8EA4-141F9D281721}" name="Tabell161824282532" displayName="Tabell161824282532" ref="A25:K26" totalsRowShown="0" headerRowDxfId="83">
  <tableColumns count="11">
    <tableColumn id="1" xr3:uid="{560831C8-B596-49F3-902F-46F69E211EA1}" name="SW" dataDxfId="82">
      <calculatedColumnFormula>(ROW())-(ROW()-1)</calculatedColumnFormula>
    </tableColumn>
    <tableColumn id="2" xr3:uid="{E82596D6-B991-40CC-95CB-F21DAE7174AF}" name="MGMT Vlan" dataDxfId="81"/>
    <tableColumn id="3" xr3:uid="{5DE7EB2B-4947-4A2E-96FE-713844832608}" name="MGMT ip" dataDxfId="80">
      <calculatedColumnFormula>LEFT($G$5,LEN($G$5)-1)&amp;(RIGHT($G$5,1)+A26)</calculatedColumnFormula>
    </tableColumn>
    <tableColumn id="4" xr3:uid="{96CD71AE-EBD8-4706-A140-6AC053EB9D28}" name="gateway" dataDxfId="79">
      <calculatedColumnFormula>$E$5</calculatedColumnFormula>
    </tableColumn>
    <tableColumn id="5" xr3:uid="{EB395938-8C00-462D-9B40-47A26EDC7494}" name="mask" dataDxfId="78">
      <calculatedColumnFormula>$F$5</calculatedColumnFormula>
    </tableColumn>
    <tableColumn id="10" xr3:uid="{BEB39869-24FF-4EAE-8FE0-8926AB748E68}" name="num_ports_tot" dataDxfId="77"/>
    <tableColumn id="11" xr3:uid="{7B550E67-B906-4FBE-A432-CB0264AAA31E}" name="skiped_ports" dataDxfId="76"/>
    <tableColumn id="6" xr3:uid="{09844D28-5E38-4CAF-946D-C86202E9AB1E}" name="num_downlink" dataDxfId="75"/>
    <tableColumn id="7" xr3:uid="{DE656B07-9307-42AC-BAE7-A54033CC0179}" name="vlan-antall" dataDxfId="74"/>
    <tableColumn id="8" xr3:uid="{C038B262-B22A-4F60-9F95-C1B59C71979D}" name="intf_prefix" dataDxfId="73"/>
    <tableColumn id="9" xr3:uid="{50AA9385-3687-4437-9979-70EDBEC87403}" name="num_port_ledig" dataDxfId="72">
      <calculatedColumnFormula>IF($A26=1,F26-G26-H26*$F$23-2 - IF($G$23,1,0),F26-G26-(1+H26)*$F$23-1)</calculatedColumnFormula>
    </tableColumn>
  </tableColumns>
  <tableStyleInfo name="TableStyleLight12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E77F9053-1CAC-4536-82D9-E6B1B13AB72B}" name="Tabell125" displayName="Tabell125" ref="A1:I2" headerRowDxfId="71" dataDxfId="70" totalsRowDxfId="69">
  <tableColumns count="9">
    <tableColumn id="1" xr3:uid="{E6E46586-344C-4403-BB01-8EDB21806028}" name="site" dataDxfId="68"/>
    <tableColumn id="2" xr3:uid="{FCB86D2F-39D7-4C90-9092-FDE5589AE525}" name="intf_prefix" dataDxfId="67"/>
    <tableColumn id="3" xr3:uid="{4C85F93E-6153-4941-AADD-4019A25224B0}" name="router-id" dataDxfId="66">
      <calculatedColumnFormula>A2&amp;"."&amp;A2&amp;"."&amp;A2&amp;".0"</calculatedColumnFormula>
    </tableColumn>
    <tableColumn id="4" xr3:uid="{5628DB3F-6470-4F58-9719-CDC226F91032}" name="brukernavn" dataDxfId="65"/>
    <tableColumn id="5" xr3:uid="{994E14D8-8E32-40DE-BC25-819473006B20}" name="passord" dataDxfId="64"/>
    <tableColumn id="6" xr3:uid="{2510C162-2769-467E-B239-B42884D23CB5}" name="vty_lines" dataDxfId="63"/>
    <tableColumn id="7" xr3:uid="{088B1191-63A9-47D4-9FD9-A962552749AB}" name="secret" dataDxfId="62"/>
    <tableColumn id="8" xr3:uid="{6F304FFA-3989-4D92-B562-E9570C9F3576}" name="tacacs_key" dataDxfId="61">
      <calculatedColumnFormula>'Site 1 (HUB)'!H2</calculatedColumnFormula>
    </tableColumn>
    <tableColumn id="9" xr3:uid="{3C3A8CE7-2167-44CF-8A83-CBF8A3913DF1}" name="dns_servers" dataDxfId="60"/>
  </tableColumns>
  <tableStyleInfo name="TableStyleLight12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5A2C5BB-52BB-4C1C-9F21-28A1781370B3}" name="Tabell326" displayName="Tabell326" ref="A10:C14" headerRowDxfId="59" dataDxfId="58" totalsRowDxfId="57">
  <tableColumns count="3">
    <tableColumn id="1" xr3:uid="{CF7349DE-C31B-4FC6-83C6-8B6628474834}" name="vrf" dataDxfId="56"/>
    <tableColumn id="3" xr3:uid="{53625FDA-B6AB-45DC-B3A1-11B9F3FB71ED}" name="loopback" dataDxfId="55"/>
    <tableColumn id="4" xr3:uid="{E89555BA-5F3F-4C0B-9EB1-2E878627A098}" name="laddr" dataDxfId="54"/>
  </tableColumns>
  <tableStyleInfo name="TableStyleLight12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5A662B1-EB00-41C5-9AA3-10F1A1AB2E06}" name="Tabell427" displayName="Tabell427" ref="A16:J20" headerRowDxfId="53" dataDxfId="52" totalsRowDxfId="51">
  <tableColumns count="10">
    <tableColumn id="1" xr3:uid="{2ECB4295-60F9-49EA-9455-A3D81A24F7A0}" name="tunnel id" dataDxfId="50"/>
    <tableColumn id="2" xr3:uid="{13A72EC2-1D8A-4222-BD41-BE2592A960A7}" name="vrf" dataDxfId="49"/>
    <tableColumn id="3" xr3:uid="{223D8914-883F-4017-82DA-E5AB71951DF9}" name="ip address" dataDxfId="48">
      <calculatedColumnFormula>172&amp;"."&amp;16&amp;"."&amp;0&amp;"."&amp;(H17+$A$2)</calculatedColumnFormula>
    </tableColumn>
    <tableColumn id="4" xr3:uid="{24341D21-5A53-49ED-81C2-4F808B523A33}" name="mask" dataDxfId="47"/>
    <tableColumn id="5" xr3:uid="{B6651250-1C15-4916-9DD5-0DECA970E8E7}" name="source" dataDxfId="46">
      <calculatedColumnFormula>$C$2</calculatedColumnFormula>
    </tableColumn>
    <tableColumn id="6" xr3:uid="{8B863BC6-A759-4605-BC9F-50C3CABE8006}" name="destination" dataDxfId="45"/>
    <tableColumn id="7" xr3:uid="{BF23358A-67B7-45E8-AFF4-D27FC9289BE3}" name="gre mode" dataDxfId="44"/>
    <tableColumn id="8" xr3:uid="{C26012CA-6896-40EB-BAB9-E2B7AC017DAF}" name="network-id" dataDxfId="43"/>
    <tableColumn id="9" xr3:uid="{D286B9CB-857F-4868-8DE1-FD5BECC2B334}" name="ipsec" dataDxfId="42"/>
    <tableColumn id="10" xr3:uid="{293E9FC5-D0E5-407D-A659-65944E4EA279}" name="ipsec key" dataDxfId="41"/>
  </tableColumns>
  <tableStyleInfo name="TableStyleLight12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1E2C2B46-26EF-4E8A-BF33-BE80A9579C3A}" name="Tabell1319253028" displayName="Tabell1319253028" ref="A22:G23" headerRowDxfId="40" dataDxfId="39" totalsRowDxfId="38">
  <tableColumns count="7">
    <tableColumn id="1" xr3:uid="{DA701FF9-2640-4ED3-9CA5-2E83863ECACD}" name="site" dataDxfId="37">
      <calculatedColumnFormula>A2</calculatedColumnFormula>
    </tableColumn>
    <tableColumn id="4" xr3:uid="{A0A92227-4ED4-45A6-AF74-08CAD53943A6}" name="brukernavn" dataDxfId="36"/>
    <tableColumn id="5" xr3:uid="{760D6751-0B3C-4CD1-BBA0-61B78451CA09}" name="passord" dataDxfId="35"/>
    <tableColumn id="3" xr3:uid="{EFF5613C-F01D-4E28-95CD-C69E310DD62B}" name="vty_lines" dataDxfId="34"/>
    <tableColumn id="2" xr3:uid="{2102378C-EB85-46A2-AACC-F9D8E8BE9DD6}" name="secret" dataDxfId="33"/>
    <tableColumn id="6" xr3:uid="{B5B5EDC5-D203-4FAB-BF0C-B091D363D2A5}" name="etherchan_num" dataDxfId="32"/>
    <tableColumn id="7" xr3:uid="{EEE8114C-5818-4125-AFC9-23640FDD8FDB}" name="span_port" dataDxfId="2" totalsRowDxfId="1"/>
  </tableColumns>
  <tableStyleInfo name="TableStyleLight12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769C0F37-0A83-420D-A8E1-9EE1313312AC}" name="Tabell231" displayName="Tabell231" ref="A4:K8" headerRowDxfId="31" dataDxfId="30" totalsRowDxfId="29">
  <tableColumns count="11">
    <tableColumn id="1" xr3:uid="{B8E867F1-3F4C-41D0-86F6-FE265CF06F61}" name="vrf" dataDxfId="28"/>
    <tableColumn id="2" xr3:uid="{D18AC450-DB0E-4854-A38A-3EB64C6DD4EB}" name="vlan" dataDxfId="27"/>
    <tableColumn id="3" xr3:uid="{95B88648-5211-4200-988D-51B7D899A2BF}" name="interface" dataDxfId="26"/>
    <tableColumn id="4" xr3:uid="{341E7F84-C497-477E-9951-D8B1F0235F22}" name="nett id" dataDxfId="25"/>
    <tableColumn id="5" xr3:uid="{21C6E08A-5925-4A18-B96B-DC4B4117EAD0}" name="gateway" dataDxfId="24">
      <calculatedColumnFormula>LEFT(D5,LEN(D5)-1)&amp;"1"</calculatedColumnFormula>
    </tableColumn>
    <tableColumn id="6" xr3:uid="{16980205-5AE1-4CAF-9B95-493327E6B6C3}" name="mask" dataDxfId="23"/>
    <tableColumn id="7" xr3:uid="{4660DC90-F49A-4202-BD4B-71BC6584979A}" name="address min" dataDxfId="22">
      <calculatedColumnFormula>LEFT(D5,LEN(D5)-1)&amp;"1"</calculatedColumnFormula>
    </tableColumn>
    <tableColumn id="8" xr3:uid="{ADA93C1E-2F32-478C-AA86-4FC2ED08742C}" name="address max" dataDxfId="21">
      <calculatedColumnFormula>LEFT(D5,FIND(".",D5,FIND(".",D5)+1)-1)&amp;".255.254"</calculatedColumnFormula>
    </tableColumn>
    <tableColumn id="9" xr3:uid="{CA8441FD-37D1-4117-91A7-FA904F322160}" name="antall-res" dataDxfId="20"/>
    <tableColumn id="10" xr3:uid="{1F6500D8-8B23-4118-A326-933F33A88F27}" name="pri-afxx" dataDxfId="19"/>
    <tableColumn id="11" xr3:uid="{AC9A4C9B-1C06-4728-8D9C-E07A015E6BCA}" name="pri-1-10" dataDxfId="18"/>
  </tableColumns>
  <tableStyleInfo name="TableStyleLight12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CEC4A60A-F98B-45B0-B6EF-F3AF53EA1619}" name="Tabell16182428253233" displayName="Tabell16182428253233" ref="A25:K26" totalsRowShown="0" headerRowDxfId="17">
  <tableColumns count="11">
    <tableColumn id="1" xr3:uid="{4102DBA8-76EC-46C2-97AC-C45CCA6C3959}" name="SW" dataDxfId="16">
      <calculatedColumnFormula>(ROW())-(ROW()-1)</calculatedColumnFormula>
    </tableColumn>
    <tableColumn id="2" xr3:uid="{88524807-430F-4F05-A66A-A026753796D8}" name="MGMT Vlan" dataDxfId="15"/>
    <tableColumn id="3" xr3:uid="{AC8B28E6-E5DC-45AE-BE1C-4C52D8077002}" name="MGMT ip" dataDxfId="14">
      <calculatedColumnFormula>LEFT($G$5,LEN($G$5)-1)&amp;(RIGHT($G$5,1)+A26)</calculatedColumnFormula>
    </tableColumn>
    <tableColumn id="4" xr3:uid="{07AB9192-8CD5-4149-8F18-77D5ACBE4F9E}" name="gateway" dataDxfId="13">
      <calculatedColumnFormula>$E$5</calculatedColumnFormula>
    </tableColumn>
    <tableColumn id="5" xr3:uid="{D5DA3E60-36DA-4C88-88FF-10FDD9C14A18}" name="mask" dataDxfId="12">
      <calculatedColumnFormula>$F$5</calculatedColumnFormula>
    </tableColumn>
    <tableColumn id="10" xr3:uid="{4E3337F9-025D-4DA0-982C-3E70497F895A}" name="num_ports_tot" dataDxfId="11"/>
    <tableColumn id="11" xr3:uid="{647707FF-22D1-4F6D-A670-EDBB67D47D4B}" name="skiped_ports" dataDxfId="10"/>
    <tableColumn id="6" xr3:uid="{BE2F1799-FA72-40F2-9D10-AF25AC3BCF6E}" name="num_downlink" dataDxfId="9"/>
    <tableColumn id="7" xr3:uid="{E6B5A026-07C4-4081-84E5-F4A83023F33C}" name="vlan-antall" dataDxfId="8"/>
    <tableColumn id="8" xr3:uid="{88056F0E-CDA4-4FC7-B241-EE7FA7CD666F}" name="intf_prefix" dataDxfId="7"/>
    <tableColumn id="9" xr3:uid="{016D87AC-4D94-4EDA-B2B6-4B3887442A16}" name="num_port_ledig" dataDxfId="6">
      <calculatedColumnFormula>IF($A26=1,F26-G26-H26*$F$23-2 - IF($G$23,1,0),F26-G26-(1+H26)*$F$23-1)</calculatedColumnFormula>
    </tableColumn>
  </tableColumns>
  <tableStyleInfo name="TableStyleLight1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table" Target="../tables/table7.xml"/><Relationship Id="rId6" Type="http://schemas.openxmlformats.org/officeDocument/2006/relationships/table" Target="../tables/table12.xml"/><Relationship Id="rId5" Type="http://schemas.openxmlformats.org/officeDocument/2006/relationships/table" Target="../tables/table11.xml"/><Relationship Id="rId4" Type="http://schemas.openxmlformats.org/officeDocument/2006/relationships/table" Target="../tables/table10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5" Type="http://schemas.openxmlformats.org/officeDocument/2006/relationships/table" Target="../tables/table17.xml"/><Relationship Id="rId4" Type="http://schemas.openxmlformats.org/officeDocument/2006/relationships/table" Target="../tables/table1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02"/>
  <sheetViews>
    <sheetView tabSelected="1" workbookViewId="0">
      <selection activeCell="G28" sqref="G28"/>
    </sheetView>
  </sheetViews>
  <sheetFormatPr defaultColWidth="12.5703125" defaultRowHeight="12.75" x14ac:dyDescent="0.2"/>
  <cols>
    <col min="1" max="1" width="10.7109375" customWidth="1"/>
    <col min="2" max="2" width="13" customWidth="1"/>
    <col min="3" max="3" width="66" bestFit="1" customWidth="1"/>
    <col min="4" max="4" width="12.28515625" customWidth="1"/>
    <col min="5" max="5" width="66" bestFit="1" customWidth="1"/>
    <col min="6" max="6" width="15.85546875" customWidth="1"/>
    <col min="7" max="7" width="66" bestFit="1" customWidth="1"/>
    <col min="8" max="8" width="14.7109375" customWidth="1"/>
    <col min="9" max="9" width="25.5703125" bestFit="1" customWidth="1"/>
    <col min="10" max="10" width="12.7109375" bestFit="1" customWidth="1"/>
    <col min="11" max="11" width="39.28515625" customWidth="1"/>
  </cols>
  <sheetData>
    <row r="1" spans="1:11" ht="15.7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55</v>
      </c>
    </row>
    <row r="2" spans="1:11" ht="15.75" customHeight="1" x14ac:dyDescent="0.2">
      <c r="A2" s="2">
        <v>1</v>
      </c>
      <c r="B2" s="2" t="s">
        <v>9</v>
      </c>
      <c r="C2" s="2" t="str">
        <f>A2&amp;"."&amp;A2&amp;"."&amp;A2&amp;".0"</f>
        <v>1.1.1.0</v>
      </c>
      <c r="D2" s="2" t="s">
        <v>10</v>
      </c>
      <c r="E2" s="2" t="s">
        <v>11</v>
      </c>
      <c r="F2" s="2" t="s">
        <v>12</v>
      </c>
      <c r="G2" s="2" t="s">
        <v>11</v>
      </c>
      <c r="H2" s="2" t="s">
        <v>13</v>
      </c>
      <c r="I2" s="2" t="b">
        <v>1</v>
      </c>
      <c r="J2" s="13" t="s">
        <v>56</v>
      </c>
    </row>
    <row r="3" spans="1:11" ht="15.75" customHeight="1" x14ac:dyDescent="0.25">
      <c r="A3" s="4"/>
      <c r="B3" s="5"/>
      <c r="C3" s="4"/>
      <c r="D3" s="4"/>
      <c r="E3" s="4"/>
      <c r="F3" s="4"/>
      <c r="G3" s="4"/>
      <c r="H3" s="4"/>
    </row>
    <row r="4" spans="1:11" ht="15.75" customHeight="1" x14ac:dyDescent="0.2">
      <c r="A4" s="6" t="s">
        <v>14</v>
      </c>
      <c r="B4" s="6" t="s">
        <v>15</v>
      </c>
      <c r="C4" s="6" t="s">
        <v>16</v>
      </c>
      <c r="D4" s="6" t="s">
        <v>17</v>
      </c>
      <c r="E4" s="6" t="s">
        <v>18</v>
      </c>
      <c r="F4" s="6" t="s">
        <v>19</v>
      </c>
      <c r="G4" s="6" t="s">
        <v>20</v>
      </c>
      <c r="H4" s="6" t="s">
        <v>21</v>
      </c>
      <c r="I4" s="6" t="s">
        <v>22</v>
      </c>
      <c r="J4" s="7" t="s">
        <v>23</v>
      </c>
      <c r="K4" s="7" t="s">
        <v>24</v>
      </c>
    </row>
    <row r="5" spans="1:11" ht="15.75" customHeight="1" x14ac:dyDescent="0.2">
      <c r="A5" s="8" t="s">
        <v>25</v>
      </c>
      <c r="B5" s="9">
        <v>10</v>
      </c>
      <c r="C5" s="8">
        <v>0</v>
      </c>
      <c r="D5" s="8" t="str">
        <f>10&amp;"."&amp;(B5+A2)&amp;"."&amp;0&amp;"."&amp;0</f>
        <v>10.11.0.0</v>
      </c>
      <c r="E5" s="8" t="str">
        <f t="shared" ref="E5:E7" si="0">LEFT(D5,LEN(D5)-1)&amp;"1"</f>
        <v>10.11.0.1</v>
      </c>
      <c r="F5" s="8" t="s">
        <v>26</v>
      </c>
      <c r="G5" s="8" t="str">
        <f t="shared" ref="G5:G7" si="1">LEFT(D5,LEN(D5)-1)&amp;"1"</f>
        <v>10.11.0.1</v>
      </c>
      <c r="H5" s="8" t="str">
        <f>LEFT(D5,FIND(".",D5,FIND(".",D5)+1)-1)&amp;".255.254"</f>
        <v>10.11.255.254</v>
      </c>
      <c r="I5" s="8">
        <v>10</v>
      </c>
      <c r="J5" s="10">
        <v>21</v>
      </c>
      <c r="K5" s="10">
        <v>5</v>
      </c>
    </row>
    <row r="6" spans="1:11" ht="15.75" customHeight="1" x14ac:dyDescent="0.2">
      <c r="A6" s="8" t="s">
        <v>27</v>
      </c>
      <c r="B6" s="9">
        <v>20</v>
      </c>
      <c r="C6" s="8">
        <v>0</v>
      </c>
      <c r="D6" s="8" t="str">
        <f>10&amp;"."&amp;(B6+A2)&amp;"."&amp;0&amp;"."&amp;0</f>
        <v>10.21.0.0</v>
      </c>
      <c r="E6" s="8" t="str">
        <f t="shared" si="0"/>
        <v>10.21.0.1</v>
      </c>
      <c r="F6" s="8" t="s">
        <v>26</v>
      </c>
      <c r="G6" s="8" t="str">
        <f t="shared" si="1"/>
        <v>10.21.0.1</v>
      </c>
      <c r="H6" s="8" t="str">
        <f>LEFT(D6,FIND(".",D6,FIND(".",D6)+1)-1)&amp;".255.254"</f>
        <v>10.21.255.254</v>
      </c>
      <c r="I6" s="8">
        <v>10</v>
      </c>
      <c r="J6" s="10">
        <v>11</v>
      </c>
      <c r="K6" s="10">
        <v>2</v>
      </c>
    </row>
    <row r="7" spans="1:11" ht="15.75" customHeight="1" x14ac:dyDescent="0.2">
      <c r="A7" s="8" t="s">
        <v>28</v>
      </c>
      <c r="B7" s="9">
        <v>30</v>
      </c>
      <c r="C7" s="8">
        <v>0</v>
      </c>
      <c r="D7" s="8" t="str">
        <f>10&amp;"."&amp;(B7+A2)&amp;"."&amp;0&amp;"."&amp;0</f>
        <v>10.31.0.0</v>
      </c>
      <c r="E7" s="8" t="str">
        <f t="shared" si="0"/>
        <v>10.31.0.1</v>
      </c>
      <c r="F7" s="8" t="s">
        <v>26</v>
      </c>
      <c r="G7" s="8" t="str">
        <f t="shared" si="1"/>
        <v>10.31.0.1</v>
      </c>
      <c r="H7" s="8" t="str">
        <f>LEFT(D7,FIND(".",D7,FIND(".",D7)+1)-1)&amp;".255.254"</f>
        <v>10.31.255.254</v>
      </c>
      <c r="I7" s="8">
        <v>10</v>
      </c>
      <c r="J7">
        <v>42</v>
      </c>
      <c r="K7">
        <v>7</v>
      </c>
    </row>
    <row r="8" spans="1:11" ht="15.75" customHeight="1" x14ac:dyDescent="0.2">
      <c r="A8" s="8" t="s">
        <v>29</v>
      </c>
      <c r="B8" s="9">
        <v>40</v>
      </c>
      <c r="C8" s="8">
        <v>0</v>
      </c>
      <c r="D8" s="8" t="str">
        <f>10&amp;"."&amp;(B8+A2)&amp;"."&amp;0&amp;"."&amp;0</f>
        <v>10.41.0.0</v>
      </c>
      <c r="E8" s="8" t="str">
        <f t="shared" ref="E8" si="2">LEFT(D8,LEN(D8)-1)&amp;"1"</f>
        <v>10.41.0.1</v>
      </c>
      <c r="F8" s="8" t="s">
        <v>26</v>
      </c>
      <c r="G8" s="8" t="str">
        <f t="shared" ref="G8" si="3">LEFT(D8,LEN(D8)-1)&amp;"1"</f>
        <v>10.41.0.1</v>
      </c>
      <c r="H8" s="8" t="str">
        <f>LEFT(D8,FIND(".",D8,FIND(".",D8)+1)-1)&amp;".255.254"</f>
        <v>10.41.255.254</v>
      </c>
      <c r="I8" s="8">
        <v>10</v>
      </c>
      <c r="J8">
        <v>41</v>
      </c>
      <c r="K8">
        <v>10</v>
      </c>
    </row>
    <row r="9" spans="1:11" ht="15.75" customHeight="1" x14ac:dyDescent="0.2">
      <c r="A9" s="3"/>
      <c r="B9" s="3"/>
    </row>
    <row r="10" spans="1:11" ht="15.75" customHeight="1" x14ac:dyDescent="0.2">
      <c r="A10" s="6" t="s">
        <v>14</v>
      </c>
      <c r="B10" s="6" t="s">
        <v>30</v>
      </c>
      <c r="C10" s="6" t="s">
        <v>31</v>
      </c>
    </row>
    <row r="11" spans="1:11" ht="15.75" customHeight="1" x14ac:dyDescent="0.2">
      <c r="A11" s="8" t="s">
        <v>25</v>
      </c>
      <c r="B11" s="8">
        <v>10</v>
      </c>
      <c r="C11" s="8" t="str">
        <f>$A$2&amp;"."&amp;$A$2&amp;"."&amp;$A$2&amp;"."&amp;(B11)</f>
        <v>1.1.1.10</v>
      </c>
    </row>
    <row r="12" spans="1:11" ht="15.75" customHeight="1" x14ac:dyDescent="0.2">
      <c r="A12" s="8" t="s">
        <v>27</v>
      </c>
      <c r="B12" s="8">
        <v>20</v>
      </c>
      <c r="C12" s="8" t="str">
        <f t="shared" ref="C12:C14" si="4">$A$2&amp;"."&amp;$A$2&amp;"."&amp;$A$2&amp;"."&amp;(B12)</f>
        <v>1.1.1.20</v>
      </c>
    </row>
    <row r="13" spans="1:11" ht="15.75" customHeight="1" x14ac:dyDescent="0.2">
      <c r="A13" s="8" t="s">
        <v>28</v>
      </c>
      <c r="B13" s="8">
        <v>30</v>
      </c>
      <c r="C13" s="8" t="str">
        <f t="shared" si="4"/>
        <v>1.1.1.30</v>
      </c>
    </row>
    <row r="14" spans="1:11" ht="15.75" customHeight="1" x14ac:dyDescent="0.2">
      <c r="A14" s="8" t="s">
        <v>29</v>
      </c>
      <c r="B14" s="8">
        <v>40</v>
      </c>
      <c r="C14" s="8" t="str">
        <f t="shared" si="4"/>
        <v>1.1.1.40</v>
      </c>
    </row>
    <row r="15" spans="1:11" ht="15.75" customHeight="1" x14ac:dyDescent="0.2"/>
    <row r="16" spans="1:11" ht="15.75" customHeight="1" x14ac:dyDescent="0.2">
      <c r="A16" s="6" t="s">
        <v>32</v>
      </c>
      <c r="B16" s="6" t="s">
        <v>14</v>
      </c>
      <c r="C16" s="6" t="s">
        <v>33</v>
      </c>
      <c r="D16" s="6" t="s">
        <v>19</v>
      </c>
      <c r="E16" s="6" t="s">
        <v>34</v>
      </c>
      <c r="F16" s="6" t="s">
        <v>35</v>
      </c>
      <c r="G16" s="6" t="s">
        <v>36</v>
      </c>
      <c r="H16" s="1" t="s">
        <v>37</v>
      </c>
      <c r="I16" s="1" t="s">
        <v>38</v>
      </c>
      <c r="J16" s="1" t="s">
        <v>39</v>
      </c>
    </row>
    <row r="17" spans="1:11" ht="15.75" customHeight="1" x14ac:dyDescent="0.2">
      <c r="A17" s="8" t="s">
        <v>40</v>
      </c>
      <c r="B17" s="8" t="s">
        <v>25</v>
      </c>
      <c r="C17" s="8" t="str">
        <f>172&amp;"."&amp;16&amp;"."&amp;0&amp;"."&amp;(H17+$A$2)</f>
        <v>172.16.0.11</v>
      </c>
      <c r="D17" s="8" t="s">
        <v>41</v>
      </c>
      <c r="E17" s="8" t="str">
        <f t="shared" ref="E17:E20" si="5">$C$2</f>
        <v>1.1.1.0</v>
      </c>
      <c r="F17" s="8"/>
      <c r="G17" s="8" t="s">
        <v>42</v>
      </c>
      <c r="H17" s="2">
        <v>10</v>
      </c>
      <c r="I17" s="2"/>
      <c r="J17" s="2"/>
    </row>
    <row r="18" spans="1:11" ht="15.75" customHeight="1" x14ac:dyDescent="0.2">
      <c r="A18" s="8" t="s">
        <v>43</v>
      </c>
      <c r="B18" s="8" t="s">
        <v>27</v>
      </c>
      <c r="C18" s="8" t="str">
        <f t="shared" ref="C18:C19" si="6">172&amp;"."&amp;16&amp;"."&amp;0&amp;"."&amp;(H18+$A$2)</f>
        <v>172.16.0.21</v>
      </c>
      <c r="D18" s="8" t="s">
        <v>41</v>
      </c>
      <c r="E18" s="8" t="str">
        <f t="shared" si="5"/>
        <v>1.1.1.0</v>
      </c>
      <c r="F18" s="8"/>
      <c r="G18" s="8" t="s">
        <v>42</v>
      </c>
      <c r="H18" s="2">
        <v>20</v>
      </c>
      <c r="I18" s="2"/>
      <c r="J18" s="2"/>
    </row>
    <row r="19" spans="1:11" ht="15.75" customHeight="1" x14ac:dyDescent="0.2">
      <c r="A19" s="8" t="s">
        <v>44</v>
      </c>
      <c r="B19" s="8" t="s">
        <v>28</v>
      </c>
      <c r="C19" s="8" t="str">
        <f t="shared" si="6"/>
        <v>172.16.0.31</v>
      </c>
      <c r="D19" s="8" t="s">
        <v>41</v>
      </c>
      <c r="E19" s="8" t="str">
        <f t="shared" si="5"/>
        <v>1.1.1.0</v>
      </c>
      <c r="F19" s="8"/>
      <c r="G19" s="8" t="s">
        <v>42</v>
      </c>
      <c r="H19" s="2">
        <v>30</v>
      </c>
      <c r="I19" s="2" t="b">
        <v>1</v>
      </c>
      <c r="J19" s="2"/>
    </row>
    <row r="20" spans="1:11" ht="15.75" customHeight="1" x14ac:dyDescent="0.2">
      <c r="A20" s="8" t="s">
        <v>45</v>
      </c>
      <c r="B20" s="8" t="s">
        <v>29</v>
      </c>
      <c r="C20" s="8" t="str">
        <f t="shared" ref="C20" si="7">172&amp;"."&amp;16&amp;"."&amp;0&amp;"."&amp;(H20+$A$2)</f>
        <v>172.16.0.41</v>
      </c>
      <c r="D20" s="8" t="s">
        <v>41</v>
      </c>
      <c r="E20" s="8" t="str">
        <f t="shared" si="5"/>
        <v>1.1.1.0</v>
      </c>
      <c r="F20" s="8"/>
      <c r="G20" s="8" t="s">
        <v>42</v>
      </c>
      <c r="H20" s="2">
        <v>40</v>
      </c>
      <c r="I20" s="2" t="b">
        <v>1</v>
      </c>
      <c r="J20" s="2"/>
    </row>
    <row r="21" spans="1:11" ht="15.75" customHeight="1" x14ac:dyDescent="0.2">
      <c r="A21" s="12"/>
      <c r="B21" s="12"/>
      <c r="C21" s="12"/>
      <c r="D21" s="12"/>
      <c r="E21" s="12"/>
      <c r="F21" s="12"/>
      <c r="G21" s="12"/>
    </row>
    <row r="22" spans="1:11" ht="15.75" customHeight="1" x14ac:dyDescent="0.2">
      <c r="A22" s="1" t="s">
        <v>0</v>
      </c>
      <c r="B22" s="1" t="s">
        <v>3</v>
      </c>
      <c r="C22" s="1" t="s">
        <v>4</v>
      </c>
      <c r="D22" s="1" t="s">
        <v>5</v>
      </c>
      <c r="E22" s="1" t="s">
        <v>6</v>
      </c>
      <c r="F22" s="1" t="s">
        <v>57</v>
      </c>
      <c r="G22" s="1" t="s">
        <v>58</v>
      </c>
    </row>
    <row r="23" spans="1:11" ht="28.7" customHeight="1" x14ac:dyDescent="0.2">
      <c r="A23" s="2">
        <f>A2</f>
        <v>1</v>
      </c>
      <c r="B23" s="2" t="s">
        <v>10</v>
      </c>
      <c r="C23" s="2" t="s">
        <v>11</v>
      </c>
      <c r="D23" s="2" t="s">
        <v>12</v>
      </c>
      <c r="E23" s="2" t="s">
        <v>11</v>
      </c>
      <c r="F23" s="2">
        <v>2</v>
      </c>
      <c r="G23" s="2" t="b">
        <v>1</v>
      </c>
    </row>
    <row r="24" spans="1:11" ht="15.75" customHeight="1" x14ac:dyDescent="0.2"/>
    <row r="25" spans="1:11" ht="39" customHeight="1" x14ac:dyDescent="0.2">
      <c r="A25" s="15" t="s">
        <v>46</v>
      </c>
      <c r="B25" s="15" t="s">
        <v>47</v>
      </c>
      <c r="C25" s="15" t="s">
        <v>48</v>
      </c>
      <c r="D25" s="15" t="s">
        <v>18</v>
      </c>
      <c r="E25" s="15" t="s">
        <v>19</v>
      </c>
      <c r="F25" s="15" t="s">
        <v>49</v>
      </c>
      <c r="G25" s="15" t="s">
        <v>50</v>
      </c>
      <c r="H25" s="15" t="s">
        <v>51</v>
      </c>
      <c r="I25" s="15" t="s">
        <v>52</v>
      </c>
      <c r="J25" s="15" t="s">
        <v>1</v>
      </c>
      <c r="K25" s="15" t="s">
        <v>53</v>
      </c>
    </row>
    <row r="26" spans="1:11" ht="45" customHeight="1" x14ac:dyDescent="0.2">
      <c r="A26" s="8">
        <f>(ROW())-(ROW()-1)</f>
        <v>1</v>
      </c>
      <c r="B26" s="8">
        <v>10</v>
      </c>
      <c r="C26" s="8" t="str">
        <f>LEFT($G$5,LEN($G$5)-1)&amp;(RIGHT($G$5,1)+A26)</f>
        <v>10.11.0.2</v>
      </c>
      <c r="D26" s="8" t="str">
        <f>$E$5</f>
        <v>10.11.0.1</v>
      </c>
      <c r="E26" s="8" t="str">
        <f>$F$5</f>
        <v>255.255.0.0</v>
      </c>
      <c r="F26" s="8">
        <v>24</v>
      </c>
      <c r="G26" s="8">
        <v>1</v>
      </c>
      <c r="H26" s="11">
        <v>3</v>
      </c>
      <c r="I26" s="8" t="s">
        <v>54</v>
      </c>
      <c r="J26" s="2" t="s">
        <v>9</v>
      </c>
      <c r="K26" s="2">
        <f t="shared" ref="K26:K27" si="8">IF($A26=1,F26-G26-H26*$F$23-2 - IF($G$23,1,0),F26-G26-(1+H26)*$F$23-1)</f>
        <v>14</v>
      </c>
    </row>
    <row r="27" spans="1:11" ht="15.75" customHeight="1" x14ac:dyDescent="0.2">
      <c r="A27" s="17">
        <v>2</v>
      </c>
      <c r="B27" s="17">
        <v>10</v>
      </c>
      <c r="C27" s="17" t="str">
        <f>LEFT($G$5,LEN($G$5)-1)&amp;(RIGHT($G$5,1)+A27)</f>
        <v>10.11.0.3</v>
      </c>
      <c r="D27" s="17" t="str">
        <f>$E$5</f>
        <v>10.11.0.1</v>
      </c>
      <c r="E27" s="17" t="str">
        <f>$F$5</f>
        <v>255.255.0.0</v>
      </c>
      <c r="F27" s="17">
        <v>24</v>
      </c>
      <c r="G27" s="17">
        <v>1</v>
      </c>
      <c r="H27" s="17">
        <v>0</v>
      </c>
      <c r="I27" s="16" t="s">
        <v>54</v>
      </c>
      <c r="J27" s="13" t="s">
        <v>9</v>
      </c>
      <c r="K27" s="2">
        <f t="shared" si="8"/>
        <v>20</v>
      </c>
    </row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  <row r="1001" ht="15.75" customHeight="1" x14ac:dyDescent="0.2"/>
    <row r="1002" ht="15.75" customHeight="1" x14ac:dyDescent="0.2"/>
  </sheetData>
  <dataValidations count="1">
    <dataValidation type="custom" allowBlank="1" showInputMessage="1" showErrorMessage="1" sqref="I26:I27" xr:uid="{00000000-0002-0000-0000-000000000000}">
      <formula1>IF(I26="",TRUE,SUM(--_xlfn.TEXTAFTER(_xlfn.TEXTSPLIT(I26,"-"),"."))&lt;=K26)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95"/>
  <sheetViews>
    <sheetView workbookViewId="0">
      <selection activeCell="J34" sqref="J34"/>
    </sheetView>
  </sheetViews>
  <sheetFormatPr defaultColWidth="12.5703125" defaultRowHeight="14.25" x14ac:dyDescent="0.2"/>
  <cols>
    <col min="1" max="1" width="10.7109375" style="14" customWidth="1"/>
    <col min="2" max="2" width="13" style="14" customWidth="1"/>
    <col min="3" max="3" width="75.85546875" style="14" bestFit="1" customWidth="1"/>
    <col min="4" max="4" width="12.28515625" style="14" customWidth="1"/>
    <col min="5" max="5" width="75.85546875" style="14" bestFit="1" customWidth="1"/>
    <col min="6" max="6" width="16.85546875" style="14" bestFit="1" customWidth="1"/>
    <col min="7" max="7" width="75.85546875" style="14" bestFit="1" customWidth="1"/>
    <col min="8" max="8" width="15.5703125" style="14" bestFit="1" customWidth="1"/>
    <col min="9" max="9" width="25.5703125" style="14" bestFit="1" customWidth="1"/>
    <col min="10" max="10" width="11.28515625" style="14" bestFit="1" customWidth="1"/>
    <col min="11" max="11" width="16.85546875" style="14" bestFit="1" customWidth="1"/>
    <col min="12" max="16384" width="12.5703125" style="14"/>
  </cols>
  <sheetData>
    <row r="1" spans="1:11" ht="15.75" customHeight="1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55</v>
      </c>
    </row>
    <row r="2" spans="1:11" ht="15.75" customHeight="1" x14ac:dyDescent="0.2">
      <c r="A2" s="14">
        <v>2</v>
      </c>
      <c r="B2" s="14" t="s">
        <v>9</v>
      </c>
      <c r="C2" s="14" t="str">
        <f>A2&amp;"."&amp;A2&amp;"."&amp;A2&amp;".0"</f>
        <v>2.2.2.0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56</v>
      </c>
    </row>
    <row r="3" spans="1:11" ht="15.75" customHeight="1" x14ac:dyDescent="0.2"/>
    <row r="4" spans="1:11" ht="31.5" customHeight="1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1" ht="15.75" customHeight="1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10.12.0.0</v>
      </c>
      <c r="E5" s="14" t="str">
        <f t="shared" ref="E5:E8" si="0">LEFT(D5,LEN(D5)-1)&amp;"1"</f>
        <v>10.12.0.1</v>
      </c>
      <c r="F5" s="14" t="s">
        <v>26</v>
      </c>
      <c r="G5" s="14" t="str">
        <f t="shared" ref="G5:G8" si="1">LEFT(D5,LEN(D5)-1)&amp;"1"</f>
        <v>10.12.0.1</v>
      </c>
      <c r="H5" s="14" t="str">
        <f>LEFT(D5,FIND(".",D5,FIND(".",D5)+1)-1)&amp;".255.254"</f>
        <v>10.12.255.254</v>
      </c>
      <c r="I5" s="14">
        <v>10</v>
      </c>
      <c r="J5" s="14">
        <v>21</v>
      </c>
      <c r="K5" s="14">
        <v>5</v>
      </c>
    </row>
    <row r="6" spans="1:11" ht="15.75" customHeight="1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10.22.0.0</v>
      </c>
      <c r="E6" s="14" t="str">
        <f t="shared" si="0"/>
        <v>10.22.0.1</v>
      </c>
      <c r="F6" s="14" t="s">
        <v>26</v>
      </c>
      <c r="G6" s="14" t="str">
        <f t="shared" si="1"/>
        <v>10.22.0.1</v>
      </c>
      <c r="H6" s="14" t="str">
        <f>LEFT(D6,FIND(".",D6,FIND(".",D6)+1)-1)&amp;".255.254"</f>
        <v>10.22.255.254</v>
      </c>
      <c r="I6" s="14">
        <v>10</v>
      </c>
      <c r="J6" s="14">
        <v>11</v>
      </c>
      <c r="K6" s="14">
        <v>2</v>
      </c>
    </row>
    <row r="7" spans="1:11" ht="15.75" customHeight="1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10.32.0.0</v>
      </c>
      <c r="E7" s="14" t="str">
        <f t="shared" si="0"/>
        <v>10.32.0.1</v>
      </c>
      <c r="F7" s="14" t="s">
        <v>26</v>
      </c>
      <c r="G7" s="14" t="str">
        <f t="shared" si="1"/>
        <v>10.32.0.1</v>
      </c>
      <c r="H7" s="14" t="str">
        <f>LEFT(D7,FIND(".",D7,FIND(".",D7)+1)-1)&amp;".255.254"</f>
        <v>10.32.255.254</v>
      </c>
      <c r="I7" s="14">
        <v>10</v>
      </c>
      <c r="J7" s="14">
        <v>42</v>
      </c>
      <c r="K7" s="14">
        <v>7</v>
      </c>
    </row>
    <row r="8" spans="1:11" ht="15.75" customHeight="1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10.42.0.0</v>
      </c>
      <c r="E8" s="14" t="str">
        <f t="shared" si="0"/>
        <v>10.42.0.1</v>
      </c>
      <c r="F8" s="14" t="s">
        <v>26</v>
      </c>
      <c r="G8" s="14" t="str">
        <f t="shared" si="1"/>
        <v>10.42.0.1</v>
      </c>
      <c r="H8" s="14" t="str">
        <f>LEFT(D8,FIND(".",D8,FIND(".",D8)+1)-1)&amp;".255.254"</f>
        <v>10.42.255.254</v>
      </c>
      <c r="I8" s="14">
        <v>10</v>
      </c>
      <c r="J8" s="14">
        <v>41</v>
      </c>
      <c r="K8" s="14">
        <v>10</v>
      </c>
    </row>
    <row r="9" spans="1:11" ht="15.75" customHeight="1" x14ac:dyDescent="0.2"/>
    <row r="10" spans="1:11" ht="15.75" customHeight="1" x14ac:dyDescent="0.2">
      <c r="A10" s="14" t="s">
        <v>14</v>
      </c>
      <c r="B10" s="14" t="s">
        <v>30</v>
      </c>
      <c r="C10" s="14" t="s">
        <v>31</v>
      </c>
    </row>
    <row r="11" spans="1:11" ht="15.75" customHeight="1" x14ac:dyDescent="0.2">
      <c r="A11" s="14" t="s">
        <v>25</v>
      </c>
      <c r="B11" s="14">
        <v>10</v>
      </c>
      <c r="C11" s="14" t="str">
        <f>A2&amp;"."&amp;A2&amp;"."&amp;A2&amp;"."&amp;(B11)</f>
        <v>2.2.2.10</v>
      </c>
    </row>
    <row r="12" spans="1:11" ht="15.75" customHeight="1" x14ac:dyDescent="0.2">
      <c r="A12" s="14" t="s">
        <v>27</v>
      </c>
      <c r="B12" s="14">
        <v>20</v>
      </c>
      <c r="C12" s="14" t="str">
        <f>A2&amp;"."&amp;A2&amp;"."&amp;A2&amp;"."&amp;(B12)</f>
        <v>2.2.2.20</v>
      </c>
    </row>
    <row r="13" spans="1:11" ht="15.75" customHeight="1" x14ac:dyDescent="0.2">
      <c r="A13" s="14" t="s">
        <v>28</v>
      </c>
      <c r="B13" s="14">
        <v>30</v>
      </c>
      <c r="C13" s="14" t="str">
        <f>A2&amp;"."&amp;A2&amp;"."&amp;A2&amp;"."&amp;(B13)</f>
        <v>2.2.2.30</v>
      </c>
    </row>
    <row r="14" spans="1:11" ht="15.75" customHeight="1" x14ac:dyDescent="0.2">
      <c r="A14" s="14" t="s">
        <v>29</v>
      </c>
      <c r="B14" s="14">
        <v>40</v>
      </c>
      <c r="C14" s="14" t="str">
        <f t="shared" ref="C14" si="2">$A$2&amp;"."&amp;$A$2&amp;"."&amp;$A$2&amp;"."&amp;(B14)</f>
        <v>2.2.2.40</v>
      </c>
    </row>
    <row r="15" spans="1:11" ht="15.75" customHeight="1" x14ac:dyDescent="0.2"/>
    <row r="16" spans="1:11" ht="15.75" customHeight="1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</row>
    <row r="17" spans="1:11" ht="15.75" customHeight="1" x14ac:dyDescent="0.2">
      <c r="A17" s="14" t="s">
        <v>40</v>
      </c>
      <c r="B17" s="14" t="s">
        <v>25</v>
      </c>
      <c r="C17" s="14" t="str">
        <f>172&amp;"."&amp;16&amp;"."&amp;0&amp;"."&amp;(H17+$A$2)</f>
        <v>172.16.0.12</v>
      </c>
      <c r="D17" s="14" t="s">
        <v>41</v>
      </c>
      <c r="E17" s="14" t="str">
        <f t="shared" ref="E17:E20" si="3">$C$2</f>
        <v>2.2.2.0</v>
      </c>
      <c r="G17" s="14" t="s">
        <v>42</v>
      </c>
      <c r="H17" s="14">
        <v>10</v>
      </c>
      <c r="I17" s="14">
        <f t="array" ref="I17">'Site 1 (HUB)'!I17</f>
        <v>0</v>
      </c>
    </row>
    <row r="18" spans="1:11" ht="15.75" customHeight="1" x14ac:dyDescent="0.2">
      <c r="A18" s="14" t="s">
        <v>43</v>
      </c>
      <c r="B18" s="14" t="s">
        <v>27</v>
      </c>
      <c r="C18" s="14" t="str">
        <f>172&amp;"."&amp;16&amp;"."&amp;0&amp;"."&amp;(H18+$A$2)</f>
        <v>172.16.0.22</v>
      </c>
      <c r="D18" s="14" t="s">
        <v>41</v>
      </c>
      <c r="E18" s="14" t="str">
        <f t="shared" si="3"/>
        <v>2.2.2.0</v>
      </c>
      <c r="G18" s="14" t="s">
        <v>42</v>
      </c>
      <c r="H18" s="14">
        <v>20</v>
      </c>
      <c r="I18" s="14" cm="1">
        <f t="array" ref="I18">'Site 1 (HUB)'!I18</f>
        <v>0</v>
      </c>
    </row>
    <row r="19" spans="1:11" ht="15.75" customHeight="1" x14ac:dyDescent="0.2">
      <c r="A19" s="14" t="s">
        <v>44</v>
      </c>
      <c r="B19" s="14" t="s">
        <v>28</v>
      </c>
      <c r="C19" s="14" t="str">
        <f>172&amp;"."&amp;16&amp;"."&amp;0&amp;"."&amp;(H19+$A$2)</f>
        <v>172.16.0.32</v>
      </c>
      <c r="D19" s="14" t="s">
        <v>41</v>
      </c>
      <c r="E19" s="14" t="str">
        <f t="shared" si="3"/>
        <v>2.2.2.0</v>
      </c>
      <c r="G19" s="14" t="s">
        <v>42</v>
      </c>
      <c r="H19" s="14">
        <v>30</v>
      </c>
      <c r="I19" s="14" t="b">
        <f t="array" ref="I19">'Site 1 (HUB)'!I19</f>
        <v>1</v>
      </c>
    </row>
    <row r="20" spans="1:11" ht="15.75" customHeight="1" x14ac:dyDescent="0.2">
      <c r="A20" s="14" t="s">
        <v>45</v>
      </c>
      <c r="B20" s="14" t="s">
        <v>29</v>
      </c>
      <c r="C20" s="14" t="str">
        <f t="shared" ref="C20" si="4">172&amp;"."&amp;16&amp;"."&amp;0&amp;"."&amp;(H20+$A$2)</f>
        <v>172.16.0.42</v>
      </c>
      <c r="D20" s="14" t="s">
        <v>41</v>
      </c>
      <c r="E20" s="14" t="str">
        <f t="shared" si="3"/>
        <v>2.2.2.0</v>
      </c>
      <c r="G20" s="14" t="s">
        <v>42</v>
      </c>
      <c r="H20" s="14">
        <v>40</v>
      </c>
      <c r="I20" s="14" t="b">
        <f>'Site 1 (HUB)'!I20</f>
        <v>1</v>
      </c>
    </row>
    <row r="21" spans="1:11" ht="15.75" customHeight="1" x14ac:dyDescent="0.2"/>
    <row r="22" spans="1:11" ht="16.5" customHeight="1" x14ac:dyDescent="0.2">
      <c r="A22" s="14" t="s">
        <v>0</v>
      </c>
      <c r="B22" s="14" t="s">
        <v>3</v>
      </c>
      <c r="C22" s="14" t="s">
        <v>4</v>
      </c>
      <c r="D22" s="14" t="s">
        <v>5</v>
      </c>
      <c r="E22" s="14" t="s">
        <v>6</v>
      </c>
      <c r="F22" s="14" t="s">
        <v>57</v>
      </c>
      <c r="G22" s="14" t="s">
        <v>58</v>
      </c>
    </row>
    <row r="23" spans="1:11" ht="15.75" customHeight="1" x14ac:dyDescent="0.2">
      <c r="A23" s="14">
        <f>A2</f>
        <v>2</v>
      </c>
      <c r="B23" s="14" t="s">
        <v>10</v>
      </c>
      <c r="C23" s="14" t="s">
        <v>11</v>
      </c>
      <c r="D23" s="14" t="s">
        <v>12</v>
      </c>
      <c r="E23" s="14" t="s">
        <v>11</v>
      </c>
      <c r="F23" s="14">
        <v>2</v>
      </c>
      <c r="G23" s="14" t="b">
        <v>1</v>
      </c>
    </row>
    <row r="24" spans="1:11" ht="15.75" customHeight="1" x14ac:dyDescent="0.2"/>
    <row r="25" spans="1:11" ht="15.75" customHeight="1" x14ac:dyDescent="0.2">
      <c r="A25" s="15" t="s">
        <v>46</v>
      </c>
      <c r="B25" s="15" t="s">
        <v>47</v>
      </c>
      <c r="C25" s="15" t="s">
        <v>48</v>
      </c>
      <c r="D25" s="15" t="s">
        <v>18</v>
      </c>
      <c r="E25" s="15" t="s">
        <v>19</v>
      </c>
      <c r="F25" s="15" t="s">
        <v>49</v>
      </c>
      <c r="G25" s="15" t="s">
        <v>50</v>
      </c>
      <c r="H25" s="15" t="s">
        <v>51</v>
      </c>
      <c r="I25" s="15" t="s">
        <v>52</v>
      </c>
      <c r="J25" s="15" t="s">
        <v>1</v>
      </c>
      <c r="K25" s="15" t="s">
        <v>53</v>
      </c>
    </row>
    <row r="26" spans="1:11" ht="15.75" customHeight="1" x14ac:dyDescent="0.2">
      <c r="A26" s="8">
        <f>(ROW())-(ROW()-1)</f>
        <v>1</v>
      </c>
      <c r="B26" s="8">
        <v>10</v>
      </c>
      <c r="C26" s="8" t="str">
        <f>LEFT($G$5,LEN($G$5)-1)&amp;(RIGHT($G$5,1)+A26)</f>
        <v>10.12.0.2</v>
      </c>
      <c r="D26" s="8" t="str">
        <f>$E$5</f>
        <v>10.12.0.1</v>
      </c>
      <c r="E26" s="8" t="str">
        <f>$F$5</f>
        <v>255.255.0.0</v>
      </c>
      <c r="F26" s="8">
        <v>24</v>
      </c>
      <c r="G26" s="8">
        <v>1</v>
      </c>
      <c r="H26" s="11">
        <v>0</v>
      </c>
      <c r="I26" s="8" t="s">
        <v>54</v>
      </c>
      <c r="J26" s="2" t="s">
        <v>9</v>
      </c>
      <c r="K26" s="2">
        <f>IF($A26=1,F26-G26-H26*$F$23-2 - IF($G$23,1,0),F26-G26-(1+H26)*$F$23-1)</f>
        <v>20</v>
      </c>
    </row>
    <row r="27" spans="1:11" ht="15.75" customHeight="1" x14ac:dyDescent="0.2"/>
    <row r="28" spans="1:11" ht="15.75" customHeight="1" x14ac:dyDescent="0.2"/>
    <row r="29" spans="1:11" ht="15.75" customHeight="1" x14ac:dyDescent="0.2"/>
    <row r="30" spans="1:11" ht="15.75" customHeight="1" x14ac:dyDescent="0.2"/>
    <row r="31" spans="1:11" ht="15.75" customHeight="1" x14ac:dyDescent="0.2"/>
    <row r="32" spans="1:1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</sheetData>
  <dataValidations count="1">
    <dataValidation type="custom" allowBlank="1" showInputMessage="1" showErrorMessage="1" sqref="I26" xr:uid="{D1026AEF-88A1-41AD-A0F5-089AD26E947E}">
      <formula1>IF(I26="",TRUE,SUM(--_xlfn.TEXTAFTER(_xlfn.TEXTSPLIT(I26,"-"),"."))&lt;=K26)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7"/>
  <sheetViews>
    <sheetView workbookViewId="0">
      <selection activeCell="K26" sqref="K26"/>
    </sheetView>
  </sheetViews>
  <sheetFormatPr defaultRowHeight="12.75" x14ac:dyDescent="0.2"/>
  <cols>
    <col min="1" max="1" width="10.7109375" customWidth="1"/>
    <col min="2" max="2" width="13" customWidth="1"/>
    <col min="3" max="3" width="75.85546875" bestFit="1" customWidth="1"/>
    <col min="4" max="4" width="12.28515625" customWidth="1"/>
    <col min="5" max="5" width="75.85546875" bestFit="1" customWidth="1"/>
    <col min="6" max="6" width="16.85546875" bestFit="1" customWidth="1"/>
    <col min="7" max="7" width="58.7109375" customWidth="1"/>
    <col min="8" max="8" width="15.5703125" bestFit="1" customWidth="1"/>
    <col min="9" max="9" width="25.5703125" bestFit="1" customWidth="1"/>
    <col min="10" max="10" width="11.28515625" bestFit="1" customWidth="1"/>
    <col min="11" max="11" width="16.85546875" bestFit="1" customWidth="1"/>
  </cols>
  <sheetData>
    <row r="1" spans="1:11" ht="14.25" x14ac:dyDescent="0.2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55</v>
      </c>
      <c r="J1" s="14"/>
      <c r="K1" s="14"/>
    </row>
    <row r="2" spans="1:11" ht="14.25" x14ac:dyDescent="0.2">
      <c r="A2" s="14">
        <v>3</v>
      </c>
      <c r="B2" s="14" t="s">
        <v>9</v>
      </c>
      <c r="C2" s="14" t="str">
        <f>A2&amp;"."&amp;A2&amp;"."&amp;A2&amp;".0"</f>
        <v>3.3.3.0</v>
      </c>
      <c r="D2" s="14" t="s">
        <v>10</v>
      </c>
      <c r="E2" s="14" t="s">
        <v>11</v>
      </c>
      <c r="F2" s="14" t="s">
        <v>12</v>
      </c>
      <c r="G2" s="14" t="s">
        <v>11</v>
      </c>
      <c r="H2" s="14" t="str">
        <f>'Site 1 (HUB)'!H2</f>
        <v>TACACS-KEY</v>
      </c>
      <c r="I2" s="14" t="s">
        <v>56</v>
      </c>
      <c r="J2" s="14"/>
      <c r="K2" s="14"/>
    </row>
    <row r="3" spans="1:11" ht="14.25" x14ac:dyDescent="0.2">
      <c r="A3" s="14"/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ht="14.25" x14ac:dyDescent="0.2">
      <c r="A4" s="14" t="s">
        <v>14</v>
      </c>
      <c r="B4" s="14" t="s">
        <v>15</v>
      </c>
      <c r="C4" s="14" t="s">
        <v>16</v>
      </c>
      <c r="D4" s="14" t="s">
        <v>17</v>
      </c>
      <c r="E4" s="14" t="s">
        <v>18</v>
      </c>
      <c r="F4" s="14" t="s">
        <v>19</v>
      </c>
      <c r="G4" s="14" t="s">
        <v>20</v>
      </c>
      <c r="H4" s="14" t="s">
        <v>21</v>
      </c>
      <c r="I4" s="14" t="s">
        <v>22</v>
      </c>
      <c r="J4" s="14" t="s">
        <v>23</v>
      </c>
      <c r="K4" s="14" t="s">
        <v>24</v>
      </c>
    </row>
    <row r="5" spans="1:11" ht="14.25" x14ac:dyDescent="0.2">
      <c r="A5" s="14" t="s">
        <v>25</v>
      </c>
      <c r="B5" s="14">
        <v>10</v>
      </c>
      <c r="C5" s="14">
        <v>0</v>
      </c>
      <c r="D5" s="14" t="str">
        <f>10&amp;"."&amp;(B5+A2)&amp;"."&amp;0&amp;"."&amp;0</f>
        <v>10.13.0.0</v>
      </c>
      <c r="E5" s="14" t="str">
        <f t="shared" ref="E5:E8" si="0">LEFT(D5,LEN(D5)-1)&amp;"1"</f>
        <v>10.13.0.1</v>
      </c>
      <c r="F5" s="14" t="s">
        <v>26</v>
      </c>
      <c r="G5" s="14" t="str">
        <f t="shared" ref="G5:G8" si="1">LEFT(D5,LEN(D5)-1)&amp;"1"</f>
        <v>10.13.0.1</v>
      </c>
      <c r="H5" s="14" t="str">
        <f>LEFT(D5,FIND(".",D5,FIND(".",D5)+1)-1)&amp;".255.254"</f>
        <v>10.13.255.254</v>
      </c>
      <c r="I5" s="14">
        <v>10</v>
      </c>
      <c r="J5" s="14">
        <v>21</v>
      </c>
      <c r="K5" s="14">
        <v>5</v>
      </c>
    </row>
    <row r="6" spans="1:11" ht="14.25" x14ac:dyDescent="0.2">
      <c r="A6" s="14" t="s">
        <v>27</v>
      </c>
      <c r="B6" s="14">
        <v>20</v>
      </c>
      <c r="C6" s="14">
        <v>0</v>
      </c>
      <c r="D6" s="14" t="str">
        <f>10&amp;"."&amp;(B6+A2)&amp;"."&amp;0&amp;"."&amp;0</f>
        <v>10.23.0.0</v>
      </c>
      <c r="E6" s="14" t="str">
        <f t="shared" si="0"/>
        <v>10.23.0.1</v>
      </c>
      <c r="F6" s="14" t="s">
        <v>26</v>
      </c>
      <c r="G6" s="14" t="str">
        <f t="shared" si="1"/>
        <v>10.23.0.1</v>
      </c>
      <c r="H6" s="14" t="str">
        <f>LEFT(D6,FIND(".",D6,FIND(".",D6)+1)-1)&amp;".255.254"</f>
        <v>10.23.255.254</v>
      </c>
      <c r="I6" s="14">
        <v>10</v>
      </c>
      <c r="J6" s="14">
        <v>11</v>
      </c>
      <c r="K6" s="14">
        <v>2</v>
      </c>
    </row>
    <row r="7" spans="1:11" ht="14.25" x14ac:dyDescent="0.2">
      <c r="A7" s="14" t="s">
        <v>28</v>
      </c>
      <c r="B7" s="14">
        <v>30</v>
      </c>
      <c r="C7" s="14">
        <v>0</v>
      </c>
      <c r="D7" s="14" t="str">
        <f>10&amp;"."&amp;(B7+A2)&amp;"."&amp;0&amp;"."&amp;0</f>
        <v>10.33.0.0</v>
      </c>
      <c r="E7" s="14" t="str">
        <f t="shared" si="0"/>
        <v>10.33.0.1</v>
      </c>
      <c r="F7" s="14" t="s">
        <v>26</v>
      </c>
      <c r="G7" s="14" t="str">
        <f t="shared" si="1"/>
        <v>10.33.0.1</v>
      </c>
      <c r="H7" s="14" t="str">
        <f>LEFT(D7,FIND(".",D7,FIND(".",D7)+1)-1)&amp;".255.254"</f>
        <v>10.33.255.254</v>
      </c>
      <c r="I7" s="14">
        <v>10</v>
      </c>
      <c r="J7" s="14">
        <v>42</v>
      </c>
      <c r="K7" s="14">
        <v>7</v>
      </c>
    </row>
    <row r="8" spans="1:11" ht="14.25" x14ac:dyDescent="0.2">
      <c r="A8" s="14" t="s">
        <v>29</v>
      </c>
      <c r="B8" s="14">
        <v>40</v>
      </c>
      <c r="C8" s="14">
        <v>0</v>
      </c>
      <c r="D8" s="14" t="str">
        <f>10&amp;"."&amp;(B8+A2)&amp;"."&amp;0&amp;"."&amp;0</f>
        <v>10.43.0.0</v>
      </c>
      <c r="E8" s="14" t="str">
        <f t="shared" si="0"/>
        <v>10.43.0.1</v>
      </c>
      <c r="F8" s="14" t="s">
        <v>26</v>
      </c>
      <c r="G8" s="14" t="str">
        <f t="shared" si="1"/>
        <v>10.43.0.1</v>
      </c>
      <c r="H8" s="14" t="str">
        <f>LEFT(D8,FIND(".",D8,FIND(".",D8)+1)-1)&amp;".255.254"</f>
        <v>10.43.255.254</v>
      </c>
      <c r="I8" s="14">
        <v>10</v>
      </c>
      <c r="J8" s="14">
        <v>41</v>
      </c>
      <c r="K8" s="14">
        <v>10</v>
      </c>
    </row>
    <row r="9" spans="1:11" ht="14.25" x14ac:dyDescent="0.2">
      <c r="A9" s="14"/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ht="14.25" x14ac:dyDescent="0.2">
      <c r="A10" s="14" t="s">
        <v>14</v>
      </c>
      <c r="B10" s="14" t="s">
        <v>30</v>
      </c>
      <c r="C10" s="14" t="s">
        <v>31</v>
      </c>
      <c r="D10" s="14"/>
      <c r="E10" s="14"/>
      <c r="F10" s="14"/>
      <c r="G10" s="14"/>
      <c r="H10" s="14"/>
      <c r="I10" s="14"/>
      <c r="J10" s="14"/>
      <c r="K10" s="14"/>
    </row>
    <row r="11" spans="1:11" ht="14.25" x14ac:dyDescent="0.2">
      <c r="A11" s="14" t="s">
        <v>25</v>
      </c>
      <c r="B11" s="14">
        <v>10</v>
      </c>
      <c r="C11" s="14" t="str">
        <f>A2&amp;"."&amp;A2&amp;"."&amp;A2&amp;"."&amp;(B11)</f>
        <v>3.3.3.10</v>
      </c>
      <c r="D11" s="14"/>
      <c r="E11" s="14"/>
      <c r="F11" s="14"/>
      <c r="G11" s="14"/>
      <c r="H11" s="14"/>
      <c r="I11" s="14"/>
      <c r="J11" s="14"/>
      <c r="K11" s="14"/>
    </row>
    <row r="12" spans="1:11" ht="14.25" x14ac:dyDescent="0.2">
      <c r="A12" s="14" t="s">
        <v>27</v>
      </c>
      <c r="B12" s="14">
        <v>20</v>
      </c>
      <c r="C12" s="14" t="str">
        <f>A2&amp;"."&amp;A2&amp;"."&amp;A2&amp;"."&amp;(B12)</f>
        <v>3.3.3.20</v>
      </c>
      <c r="D12" s="14"/>
      <c r="E12" s="14"/>
      <c r="F12" s="14"/>
      <c r="G12" s="14"/>
      <c r="H12" s="14"/>
      <c r="I12" s="14"/>
      <c r="J12" s="14"/>
      <c r="K12" s="14"/>
    </row>
    <row r="13" spans="1:11" ht="14.25" x14ac:dyDescent="0.2">
      <c r="A13" s="14" t="s">
        <v>28</v>
      </c>
      <c r="B13" s="14">
        <v>30</v>
      </c>
      <c r="C13" s="14" t="str">
        <f>A2&amp;"."&amp;A2&amp;"."&amp;A2&amp;"."&amp;(B13)</f>
        <v>3.3.3.30</v>
      </c>
      <c r="D13" s="14"/>
      <c r="E13" s="14"/>
      <c r="F13" s="14"/>
      <c r="G13" s="14"/>
      <c r="H13" s="14"/>
      <c r="I13" s="14"/>
      <c r="J13" s="14"/>
      <c r="K13" s="14"/>
    </row>
    <row r="14" spans="1:11" ht="14.25" x14ac:dyDescent="0.2">
      <c r="A14" s="14" t="s">
        <v>29</v>
      </c>
      <c r="B14" s="14">
        <v>40</v>
      </c>
      <c r="C14" s="14" t="str">
        <f t="shared" ref="C14" si="2">$A$2&amp;"."&amp;$A$2&amp;"."&amp;$A$2&amp;"."&amp;(B14)</f>
        <v>3.3.3.40</v>
      </c>
      <c r="D14" s="14"/>
      <c r="E14" s="14"/>
      <c r="F14" s="14"/>
      <c r="G14" s="14"/>
      <c r="H14" s="14"/>
      <c r="I14" s="14"/>
      <c r="J14" s="14"/>
      <c r="K14" s="14"/>
    </row>
    <row r="15" spans="1:11" ht="14.25" x14ac:dyDescent="0.2">
      <c r="A15" s="14"/>
      <c r="B15" s="14"/>
      <c r="C15" s="14"/>
      <c r="D15" s="14"/>
      <c r="E15" s="14"/>
      <c r="F15" s="14"/>
      <c r="G15" s="14"/>
      <c r="H15" s="14"/>
      <c r="I15" s="14"/>
      <c r="J15" s="14"/>
      <c r="K15" s="14"/>
    </row>
    <row r="16" spans="1:11" ht="14.25" x14ac:dyDescent="0.2">
      <c r="A16" s="14" t="s">
        <v>32</v>
      </c>
      <c r="B16" s="14" t="s">
        <v>14</v>
      </c>
      <c r="C16" s="14" t="s">
        <v>33</v>
      </c>
      <c r="D16" s="14" t="s">
        <v>19</v>
      </c>
      <c r="E16" s="14" t="s">
        <v>34</v>
      </c>
      <c r="F16" s="14" t="s">
        <v>35</v>
      </c>
      <c r="G16" s="14" t="s">
        <v>36</v>
      </c>
      <c r="H16" s="14" t="s">
        <v>37</v>
      </c>
      <c r="I16" s="14" t="s">
        <v>38</v>
      </c>
      <c r="J16" s="14" t="s">
        <v>39</v>
      </c>
      <c r="K16" s="14"/>
    </row>
    <row r="17" spans="1:11" ht="14.25" x14ac:dyDescent="0.2">
      <c r="A17" s="14" t="s">
        <v>40</v>
      </c>
      <c r="B17" s="14" t="s">
        <v>25</v>
      </c>
      <c r="C17" s="14" t="str">
        <f>172&amp;"."&amp;16&amp;"."&amp;0&amp;"."&amp;(H17+$A$2)</f>
        <v>172.16.0.13</v>
      </c>
      <c r="D17" s="14" t="s">
        <v>41</v>
      </c>
      <c r="E17" s="14" t="str">
        <f t="shared" ref="E17:E20" si="3">$C$2</f>
        <v>3.3.3.0</v>
      </c>
      <c r="F17" s="14"/>
      <c r="G17" s="14" t="s">
        <v>42</v>
      </c>
      <c r="H17" s="14">
        <v>10</v>
      </c>
      <c r="I17" s="14">
        <f t="array" ref="I17">'Site 1 (HUB)'!I17</f>
        <v>0</v>
      </c>
      <c r="J17" s="14"/>
      <c r="K17" s="14"/>
    </row>
    <row r="18" spans="1:11" ht="14.25" x14ac:dyDescent="0.2">
      <c r="A18" s="14" t="s">
        <v>43</v>
      </c>
      <c r="B18" s="14" t="s">
        <v>27</v>
      </c>
      <c r="C18" s="14" t="str">
        <f>172&amp;"."&amp;16&amp;"."&amp;0&amp;"."&amp;(H18+$A$2)</f>
        <v>172.16.0.23</v>
      </c>
      <c r="D18" s="14" t="s">
        <v>41</v>
      </c>
      <c r="E18" s="14" t="str">
        <f t="shared" si="3"/>
        <v>3.3.3.0</v>
      </c>
      <c r="F18" s="14"/>
      <c r="G18" s="14" t="s">
        <v>42</v>
      </c>
      <c r="H18" s="14">
        <v>20</v>
      </c>
      <c r="I18" s="14" cm="1">
        <f t="array" ref="I18">'Site 1 (HUB)'!I18</f>
        <v>0</v>
      </c>
      <c r="J18" s="14"/>
      <c r="K18" s="14"/>
    </row>
    <row r="19" spans="1:11" ht="14.25" x14ac:dyDescent="0.2">
      <c r="A19" s="14" t="s">
        <v>44</v>
      </c>
      <c r="B19" s="14" t="s">
        <v>28</v>
      </c>
      <c r="C19" s="14" t="str">
        <f>172&amp;"."&amp;16&amp;"."&amp;0&amp;"."&amp;(H19+$A$2)</f>
        <v>172.16.0.33</v>
      </c>
      <c r="D19" s="14" t="s">
        <v>41</v>
      </c>
      <c r="E19" s="14" t="str">
        <f t="shared" si="3"/>
        <v>3.3.3.0</v>
      </c>
      <c r="F19" s="14"/>
      <c r="G19" s="14" t="s">
        <v>42</v>
      </c>
      <c r="H19" s="14">
        <v>30</v>
      </c>
      <c r="I19" s="14" t="b">
        <f t="array" ref="I19">'Site 1 (HUB)'!I19</f>
        <v>1</v>
      </c>
      <c r="J19" s="14"/>
      <c r="K19" s="14"/>
    </row>
    <row r="20" spans="1:11" ht="14.25" x14ac:dyDescent="0.2">
      <c r="A20" s="14" t="s">
        <v>45</v>
      </c>
      <c r="B20" s="14" t="s">
        <v>29</v>
      </c>
      <c r="C20" s="14" t="str">
        <f t="shared" ref="C20" si="4">172&amp;"."&amp;16&amp;"."&amp;0&amp;"."&amp;(H20+$A$2)</f>
        <v>172.16.0.43</v>
      </c>
      <c r="D20" s="14" t="s">
        <v>41</v>
      </c>
      <c r="E20" s="14" t="str">
        <f t="shared" si="3"/>
        <v>3.3.3.0</v>
      </c>
      <c r="F20" s="14"/>
      <c r="G20" s="14" t="s">
        <v>42</v>
      </c>
      <c r="H20" s="14">
        <v>40</v>
      </c>
      <c r="I20" s="14" t="b">
        <f>'Site 1 (HUB)'!I20</f>
        <v>1</v>
      </c>
      <c r="J20" s="14"/>
      <c r="K20" s="14"/>
    </row>
    <row r="21" spans="1:11" ht="14.25" x14ac:dyDescent="0.2">
      <c r="A21" s="14"/>
      <c r="B21" s="14"/>
      <c r="C21" s="14"/>
      <c r="D21" s="14"/>
      <c r="E21" s="14"/>
      <c r="F21" s="14"/>
      <c r="G21" s="14"/>
      <c r="H21" s="14"/>
      <c r="I21" s="14"/>
      <c r="J21" s="14"/>
      <c r="K21" s="14"/>
    </row>
    <row r="22" spans="1:11" ht="14.25" x14ac:dyDescent="0.2">
      <c r="A22" s="14" t="s">
        <v>0</v>
      </c>
      <c r="B22" s="14" t="s">
        <v>3</v>
      </c>
      <c r="C22" s="14" t="s">
        <v>4</v>
      </c>
      <c r="D22" s="14" t="s">
        <v>5</v>
      </c>
      <c r="E22" s="14" t="s">
        <v>6</v>
      </c>
      <c r="F22" s="14" t="s">
        <v>57</v>
      </c>
      <c r="G22" s="14" t="s">
        <v>58</v>
      </c>
      <c r="H22" s="14"/>
      <c r="I22" s="14"/>
      <c r="J22" s="14"/>
      <c r="K22" s="14"/>
    </row>
    <row r="23" spans="1:11" ht="14.25" x14ac:dyDescent="0.2">
      <c r="A23" s="14">
        <f>A2</f>
        <v>3</v>
      </c>
      <c r="B23" s="14" t="s">
        <v>10</v>
      </c>
      <c r="C23" s="14" t="s">
        <v>11</v>
      </c>
      <c r="D23" s="14" t="s">
        <v>12</v>
      </c>
      <c r="E23" s="14" t="s">
        <v>11</v>
      </c>
      <c r="F23" s="14">
        <v>2</v>
      </c>
      <c r="G23" s="14" t="b">
        <v>1</v>
      </c>
      <c r="H23" s="14"/>
      <c r="I23" s="14"/>
      <c r="J23" s="14"/>
      <c r="K23" s="14"/>
    </row>
    <row r="24" spans="1:11" ht="14.25" x14ac:dyDescent="0.2">
      <c r="A24" s="14"/>
      <c r="B24" s="14"/>
      <c r="C24" s="14"/>
      <c r="D24" s="14"/>
      <c r="E24" s="14"/>
      <c r="F24" s="14"/>
      <c r="G24" s="14"/>
      <c r="H24" s="14"/>
      <c r="I24" s="14"/>
      <c r="J24" s="14"/>
      <c r="K24" s="14"/>
    </row>
    <row r="25" spans="1:11" ht="15" x14ac:dyDescent="0.2">
      <c r="A25" s="15" t="s">
        <v>46</v>
      </c>
      <c r="B25" s="15" t="s">
        <v>47</v>
      </c>
      <c r="C25" s="15" t="s">
        <v>48</v>
      </c>
      <c r="D25" s="15" t="s">
        <v>18</v>
      </c>
      <c r="E25" s="15" t="s">
        <v>19</v>
      </c>
      <c r="F25" s="15" t="s">
        <v>49</v>
      </c>
      <c r="G25" s="15" t="s">
        <v>50</v>
      </c>
      <c r="H25" s="15" t="s">
        <v>51</v>
      </c>
      <c r="I25" s="15" t="s">
        <v>52</v>
      </c>
      <c r="J25" s="15" t="s">
        <v>1</v>
      </c>
      <c r="K25" s="15" t="s">
        <v>53</v>
      </c>
    </row>
    <row r="26" spans="1:11" ht="14.25" x14ac:dyDescent="0.2">
      <c r="A26" s="8">
        <f>(ROW())-(ROW()-1)</f>
        <v>1</v>
      </c>
      <c r="B26" s="8">
        <v>10</v>
      </c>
      <c r="C26" s="8" t="str">
        <f>LEFT($G$5,LEN($G$5)-1)&amp;(RIGHT($G$5,1)+A26)</f>
        <v>10.13.0.2</v>
      </c>
      <c r="D26" s="8" t="str">
        <f>$E$5</f>
        <v>10.13.0.1</v>
      </c>
      <c r="E26" s="8" t="str">
        <f>$F$5</f>
        <v>255.255.0.0</v>
      </c>
      <c r="F26" s="8">
        <v>24</v>
      </c>
      <c r="G26" s="8">
        <v>1</v>
      </c>
      <c r="H26" s="11">
        <v>0</v>
      </c>
      <c r="I26" s="8" t="s">
        <v>54</v>
      </c>
      <c r="J26" s="2" t="s">
        <v>9</v>
      </c>
      <c r="K26" s="2">
        <f>IF($A26=1,F26-G26-H26*$F$23-2 - IF($G$23,1,0),F26-G26-(1+H26)*$F$23-1)</f>
        <v>20</v>
      </c>
    </row>
    <row r="27" spans="1:11" ht="14.25" x14ac:dyDescent="0.2">
      <c r="A27" s="14"/>
      <c r="B27" s="14"/>
      <c r="C27" s="14"/>
      <c r="D27" s="14"/>
      <c r="E27" s="14"/>
      <c r="F27" s="14"/>
      <c r="G27" s="14"/>
      <c r="H27" s="14"/>
      <c r="I27" s="14"/>
      <c r="J27" s="14"/>
      <c r="K27" s="14"/>
    </row>
  </sheetData>
  <dataValidations count="1">
    <dataValidation type="custom" allowBlank="1" showInputMessage="1" showErrorMessage="1" sqref="I26" xr:uid="{44077420-E806-44F5-BB6E-60A45CE71946}">
      <formula1>IF(I26="",TRUE,SUM(--_xlfn.TEXTAFTER(_xlfn.TEXTSPLIT(I26,"-"),"."))&lt;=K26)</formula1>
    </dataValidation>
  </dataValidation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Site 1 (HUB)</vt:lpstr>
      <vt:lpstr>Site 2</vt:lpstr>
      <vt:lpstr>Site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yonatan moknen</cp:lastModifiedBy>
  <dcterms:modified xsi:type="dcterms:W3CDTF">2026-09-12T13:57:33Z</dcterms:modified>
</cp:coreProperties>
</file>