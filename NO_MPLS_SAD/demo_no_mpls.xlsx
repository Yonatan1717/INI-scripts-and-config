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NO_MPLS_SAD\"/>
    </mc:Choice>
  </mc:AlternateContent>
  <xr:revisionPtr revIDLastSave="0" documentId="13_ncr:1_{7D57BF4F-8D10-450D-B670-CDBF6187C342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ite 1 (HUB)" sheetId="1" r:id="rId1"/>
    <sheet name="Site 2" sheetId="2" r:id="rId2"/>
    <sheet name="Site 3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4" l="1"/>
  <c r="K29" i="2"/>
  <c r="K30" i="1"/>
  <c r="K29" i="1"/>
  <c r="L29" i="1"/>
  <c r="L30" i="1"/>
  <c r="E29" i="4"/>
  <c r="A29" i="4"/>
  <c r="A26" i="4"/>
  <c r="I23" i="4"/>
  <c r="C23" i="4"/>
  <c r="I22" i="4"/>
  <c r="E22" i="4"/>
  <c r="C22" i="4"/>
  <c r="I21" i="4"/>
  <c r="E21" i="4"/>
  <c r="C21" i="4"/>
  <c r="I20" i="4" a="1"/>
  <c r="I20" i="4" s="1"/>
  <c r="C20" i="4"/>
  <c r="I19" i="4" a="1"/>
  <c r="I19" i="4"/>
  <c r="C19" i="4"/>
  <c r="C16" i="4"/>
  <c r="C15" i="4"/>
  <c r="C14" i="4"/>
  <c r="C13" i="4"/>
  <c r="C12" i="4"/>
  <c r="D9" i="4"/>
  <c r="G9" i="4" s="1"/>
  <c r="L29" i="4" s="1"/>
  <c r="D8" i="4"/>
  <c r="H8" i="4" s="1"/>
  <c r="D7" i="4"/>
  <c r="H7" i="4" s="1"/>
  <c r="D6" i="4"/>
  <c r="G6" i="4" s="1"/>
  <c r="H5" i="4"/>
  <c r="G5" i="4"/>
  <c r="C29" i="4" s="1"/>
  <c r="E5" i="4"/>
  <c r="D29" i="4" s="1"/>
  <c r="D5" i="4"/>
  <c r="H2" i="4"/>
  <c r="C2" i="4"/>
  <c r="E20" i="4" s="1"/>
  <c r="L29" i="2"/>
  <c r="C16" i="2"/>
  <c r="C15" i="2"/>
  <c r="C14" i="2"/>
  <c r="C13" i="2"/>
  <c r="C12" i="2"/>
  <c r="D9" i="2"/>
  <c r="H9" i="2" s="1"/>
  <c r="D8" i="2"/>
  <c r="H8" i="2" s="1"/>
  <c r="H7" i="2"/>
  <c r="G7" i="2"/>
  <c r="E7" i="2"/>
  <c r="D7" i="2"/>
  <c r="D6" i="2"/>
  <c r="H6" i="2" s="1"/>
  <c r="D5" i="2"/>
  <c r="E5" i="2" s="1"/>
  <c r="C23" i="1"/>
  <c r="C16" i="1"/>
  <c r="D9" i="1"/>
  <c r="E9" i="1" s="1"/>
  <c r="C23" i="2"/>
  <c r="I23" i="2"/>
  <c r="I22" i="2"/>
  <c r="I21" i="2"/>
  <c r="D6" i="1"/>
  <c r="H6" i="1" s="1"/>
  <c r="D7" i="1"/>
  <c r="H7" i="1" s="1"/>
  <c r="D8" i="1"/>
  <c r="H8" i="1" s="1"/>
  <c r="D5" i="1"/>
  <c r="E5" i="1" s="1"/>
  <c r="E29" i="2"/>
  <c r="A29" i="2"/>
  <c r="A26" i="2"/>
  <c r="C22" i="2"/>
  <c r="C21" i="2"/>
  <c r="I20" i="2" a="1"/>
  <c r="I20" i="2" s="1"/>
  <c r="C20" i="2"/>
  <c r="I19" i="2" a="1"/>
  <c r="I19" i="2" s="1"/>
  <c r="C19" i="2"/>
  <c r="H2" i="2"/>
  <c r="C2" i="2"/>
  <c r="E22" i="2" s="1"/>
  <c r="E30" i="1"/>
  <c r="E29" i="1"/>
  <c r="A29" i="1"/>
  <c r="A26" i="1"/>
  <c r="C22" i="1"/>
  <c r="C21" i="1"/>
  <c r="C20" i="1"/>
  <c r="C19" i="1"/>
  <c r="C15" i="1"/>
  <c r="C14" i="1"/>
  <c r="C13" i="1"/>
  <c r="C12" i="1"/>
  <c r="C2" i="1"/>
  <c r="E22" i="1" s="1"/>
  <c r="H9" i="4" l="1"/>
  <c r="E9" i="4"/>
  <c r="E23" i="4"/>
  <c r="H6" i="4"/>
  <c r="G7" i="4"/>
  <c r="E19" i="4"/>
  <c r="E6" i="4"/>
  <c r="E7" i="4"/>
  <c r="G8" i="4"/>
  <c r="E8" i="4"/>
  <c r="G8" i="2"/>
  <c r="E9" i="2"/>
  <c r="G9" i="2"/>
  <c r="G5" i="2"/>
  <c r="H5" i="2"/>
  <c r="E8" i="2"/>
  <c r="E6" i="2"/>
  <c r="G6" i="2"/>
  <c r="E23" i="1"/>
  <c r="H9" i="1"/>
  <c r="G9" i="1"/>
  <c r="E23" i="2"/>
  <c r="D29" i="2"/>
  <c r="C29" i="2"/>
  <c r="E21" i="2"/>
  <c r="E20" i="1"/>
  <c r="E19" i="1"/>
  <c r="E21" i="1"/>
  <c r="G5" i="1"/>
  <c r="C29" i="1" s="1"/>
  <c r="H5" i="1"/>
  <c r="D29" i="1"/>
  <c r="D30" i="1"/>
  <c r="E8" i="1"/>
  <c r="E19" i="2"/>
  <c r="G8" i="1"/>
  <c r="E20" i="2"/>
  <c r="E6" i="1"/>
  <c r="G6" i="1"/>
  <c r="E7" i="1"/>
  <c r="G7" i="1"/>
  <c r="C3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<sst xmlns="http://schemas.openxmlformats.org/spreadsheetml/2006/main" count="310" uniqueCount="65">
  <si>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</si>
  <si>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</si>
  <si>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</si>
  <si>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</si>
  <si>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</si>
  <si>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</si>
  <si>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</si>
  <si>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</si>
  <si>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</si>
  <si>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dns_servers</t>
  </si>
  <si>
    <t>g0/</t>
  </si>
  <si>
    <t>admin</t>
  </si>
  <si>
    <t>$9$0nNdTjfcaOQFlP$4VgON16XmZXlfGr4BcOzEN7OoRxfPIAcXDQ0afwx67k</t>
  </si>
  <si>
    <t>0 - 15</t>
  </si>
  <si>
    <t>TACACS-KEY</t>
  </si>
  <si>
    <t>192.168.255.1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</si>
  <si>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</si>
  <si>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</si>
  <si>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</si>
  <si>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</si>
  <si>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</si>
  <si>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</si>
  <si>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</si>
  <si>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</si>
  <si>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</si>
  <si>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</si>
  <si>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</si>
  <si>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</si>
  <si>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</si>
  <si>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</si>
  <si>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</si>
  <si>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</si>
  <si>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</si>
  <si>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</si>
  <si>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</si>
  <si>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</si>
  <si>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</si>
  <si>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</si>
  <si>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</si>
  <si>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</si>
  <si>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</si>
  <si>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</si>
  <si>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</si>
  <si>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</si>
  <si>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</si>
  <si>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20</t>
  </si>
  <si>
    <t>tunnel 30</t>
  </si>
  <si>
    <t>tunnel 40</t>
  </si>
  <si>
    <t>etherchan_num</t>
  </si>
  <si>
    <t>span_mode</t>
  </si>
  <si>
    <t>ERSPAN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</si>
  <si>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</si>
  <si>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</si>
  <si>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</si>
  <si>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</si>
  <si>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</si>
  <si>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</si>
  <si>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</si>
  <si>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</si>
  <si>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10.1-200.1-20.5-30.5-40.2</t>
  </si>
  <si>
    <t>erspan_destination</t>
  </si>
  <si>
    <t>MONITORING ip</t>
  </si>
  <si>
    <t>tunnel 50</t>
  </si>
  <si>
    <t>MONITORING</t>
  </si>
  <si>
    <t>10.51.0.10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</si>
</sst>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</font>
    <font>
      <sz val="11"/>
      <color theme="1"/>
      <name val="Arial"/>
    </font>
    <font>
      <sz val="11"/>
      <color rgb="FF000000"/>
      <name val="Arial"/>
    </font>
    <font>
      <b/>
      <sz val="11"/>
      <name val="Arial"/>
    </font>
    <font>
      <sz val="11"/>
      <name val="Arial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6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14" fillId="0" borderId="0" xfId="0" applyFont="1"/>
  </cellXfs>
  <cellStyles count="1">
    <cellStyle name="Normal" xfId="0" builtinId="0"/>
  </cellStyles>
  <dxfs count="111">
    <dxf>
      <font>
        <color theme="1"/>
      </font>
      <numFmt numFmtId="0" formatCode="General"/>
      <alignment horizontal="general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J2">
  <tableColumns count="1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68"/>
    <tableColumn id="8" xr3:uid="{00000000-0010-0000-0000-000008000000}" name="tacacs_key" dataDxfId="67"/>
    <tableColumn id="9" xr3:uid="{00000000-0010-0000-0000-000009000000}" name="DHCP" dataDxfId="66"/>
    <tableColumn id="10" xr3:uid="{00000000-0010-0000-0000-00000A000000}" name="dns_servers" dataDxfId="65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9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>
      <calculatedColumnFormula>10&amp;"."&amp;(B5+$A$2)&amp;"."&amp;0&amp;"."&amp;0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00000000-0010-0000-0100-000009000000}" name="antall-res" dataDxfId="64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1:C16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8:J23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172&amp;"."&amp;16&amp;"."&amp;0&amp;"."&amp;(H19+$A$2)</calculatedColumnFormula>
    </tableColumn>
    <tableColumn id="4" xr3:uid="{00000000-0010-0000-0300-000004000000}" name="mask"/>
    <tableColumn id="5" xr3:uid="{00000000-0010-0000-0300-000005000000}" name="source" dataDxfId="63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5:H26" dataDxfId="62">
  <tableColumns count="8">
    <tableColumn id="1" xr3:uid="{00000000-0010-0000-0400-000001000000}" name="site" dataDxfId="61">
      <calculatedColumnFormula>A2</calculatedColumnFormula>
    </tableColumn>
    <tableColumn id="2" xr3:uid="{00000000-0010-0000-0400-000002000000}" name="brukernavn" dataDxfId="60"/>
    <tableColumn id="4" xr3:uid="{00000000-0010-0000-0400-000004000000}" name="passord" dataDxfId="59"/>
    <tableColumn id="5" xr3:uid="{00000000-0010-0000-0400-000005000000}" name="vty_lines" dataDxfId="58"/>
    <tableColumn id="3" xr3:uid="{00000000-0010-0000-0400-000003000000}" name="secret" dataDxfId="57"/>
    <tableColumn id="6" xr3:uid="{00000000-0010-0000-0400-000006000000}" name="etherchan_num" dataDxfId="56"/>
    <tableColumn id="7" xr3:uid="{00000000-0010-0000-0400-000007000000}" name="span_mode" dataDxfId="55"/>
    <tableColumn id="8" xr3:uid="{A8B916C7-04E3-4A58-909F-34F3F1BEB3E4}" name="erspan_destination" dataDxfId="54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8:L30" totalsRowShown="0">
  <tableColumns count="12">
    <tableColumn id="1" xr3:uid="{00000000-0010-0000-0500-000001000000}" name="SW" dataDxfId="53">
      <calculatedColumnFormula>(ROW())-(ROW()-1)</calculatedColumnFormula>
    </tableColumn>
    <tableColumn id="2" xr3:uid="{00000000-0010-0000-0500-000002000000}" name="MGMT Vlan" dataDxfId="52"/>
    <tableColumn id="3" xr3:uid="{00000000-0010-0000-0500-000003000000}" name="MGMT ip" dataDxfId="51">
      <calculatedColumnFormula>LEFT($G$5,LEN($G$5)-1)&amp;(RIGHT($G$5,1)+A29)</calculatedColumnFormula>
    </tableColumn>
    <tableColumn id="4" xr3:uid="{00000000-0010-0000-0500-000004000000}" name="gateway" dataDxfId="50">
      <calculatedColumnFormula>$E$5</calculatedColumnFormula>
    </tableColumn>
    <tableColumn id="5" xr3:uid="{00000000-0010-0000-0500-000005000000}" name="mask" dataDxfId="49">
      <calculatedColumnFormula>$F$5</calculatedColumnFormula>
    </tableColumn>
    <tableColumn id="10" xr3:uid="{00000000-0010-0000-0500-00000A000000}" name="num_ports_tot" dataDxfId="48"/>
    <tableColumn id="11" xr3:uid="{00000000-0010-0000-0500-00000B000000}" name="skiped_ports" dataDxfId="47"/>
    <tableColumn id="6" xr3:uid="{00000000-0010-0000-0500-000006000000}" name="num_downlink" dataDxfId="46"/>
    <tableColumn id="7" xr3:uid="{00000000-0010-0000-0500-000007000000}" name="vlan-antall" dataDxfId="45"/>
    <tableColumn id="8" xr3:uid="{00000000-0010-0000-0500-000008000000}" name="intf_prefix" dataDxfId="44"/>
    <tableColumn id="9" xr3:uid="{00000000-0010-0000-0500-000009000000}" name="num_port_ledig" dataDxfId="43">
      <calculatedColumnFormula>IF($A29=1,F29-G29-H29*$F$26-2-IF(OR($G$26="ERSPAN",$G$26="SPAN",$G$26="RSPAN"),1,0),F29-G29-(1+H29)*$F$26-1)</calculatedColumnFormula>
    </tableColumn>
    <tableColumn id="12" xr3:uid="{F45C6C35-68DB-43FE-9CBF-B6A2844A42CD}" name="MONITORING ip" dataDxfId="42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I2" dataDxfId="110">
  <tableColumns count="9">
    <tableColumn id="1" xr3:uid="{00000000-0010-0000-0600-000001000000}" name="site" dataDxfId="109"/>
    <tableColumn id="2" xr3:uid="{00000000-0010-0000-0600-000002000000}" name="intf_prefix" dataDxfId="108"/>
    <tableColumn id="3" xr3:uid="{00000000-0010-0000-0600-000003000000}" name="router-id" dataDxfId="107"/>
    <tableColumn id="4" xr3:uid="{00000000-0010-0000-0600-000004000000}" name="brukernavn" dataDxfId="106"/>
    <tableColumn id="5" xr3:uid="{00000000-0010-0000-0600-000005000000}" name="passord" dataDxfId="105"/>
    <tableColumn id="6" xr3:uid="{00000000-0010-0000-0600-000006000000}" name="vty_lines" dataDxfId="104"/>
    <tableColumn id="7" xr3:uid="{00000000-0010-0000-0600-000007000000}" name="secret" dataDxfId="103"/>
    <tableColumn id="8" xr3:uid="{00000000-0010-0000-0600-000008000000}" name="tacacs_key" dataDxfId="102">
      <calculatedColumnFormula>'Site 1 (HUB)'!H2</calculatedColumnFormula>
    </tableColumn>
    <tableColumn id="9" xr3:uid="{00000000-0010-0000-0600-000009000000}" name="dns_servers" dataDxfId="101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ell4" displayName="Tabell4" ref="A18:J23" dataDxfId="100">
  <tableColumns count="10">
    <tableColumn id="1" xr3:uid="{00000000-0010-0000-0800-000001000000}" name="tunnel id" dataDxfId="99"/>
    <tableColumn id="2" xr3:uid="{00000000-0010-0000-0800-000002000000}" name="vrf" dataDxfId="98"/>
    <tableColumn id="3" xr3:uid="{00000000-0010-0000-0800-000003000000}" name="ip address" dataDxfId="97">
      <calculatedColumnFormula>172&amp;"."&amp;16&amp;"."&amp;0&amp;"."&amp;(H19+$A$2)</calculatedColumnFormula>
    </tableColumn>
    <tableColumn id="4" xr3:uid="{00000000-0010-0000-0800-000004000000}" name="mask" dataDxfId="96"/>
    <tableColumn id="5" xr3:uid="{00000000-0010-0000-0800-000005000000}" name="source" dataDxfId="95">
      <calculatedColumnFormula>$C$2</calculatedColumnFormula>
    </tableColumn>
    <tableColumn id="6" xr3:uid="{00000000-0010-0000-0800-000006000000}" name="destination" dataDxfId="94"/>
    <tableColumn id="7" xr3:uid="{00000000-0010-0000-0800-000007000000}" name="gre mode" dataDxfId="93"/>
    <tableColumn id="8" xr3:uid="{00000000-0010-0000-0800-000008000000}" name="network-id" dataDxfId="92"/>
    <tableColumn id="9" xr3:uid="{00000000-0010-0000-0800-000009000000}" name="ipsec" dataDxfId="91"/>
    <tableColumn id="10" xr3:uid="{00000000-0010-0000-0800-00000A000000}" name="ipsec key" dataDxfId="90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9000000}" name="Tabell13192530" displayName="Tabell13192530" ref="A25:H26" dataDxfId="89">
  <tableColumns count="8">
    <tableColumn id="1" xr3:uid="{00000000-0010-0000-0900-000001000000}" name="site" dataDxfId="88">
      <calculatedColumnFormula>A2</calculatedColumnFormula>
    </tableColumn>
    <tableColumn id="4" xr3:uid="{00000000-0010-0000-0900-000004000000}" name="brukernavn" dataDxfId="87"/>
    <tableColumn id="5" xr3:uid="{00000000-0010-0000-0900-000005000000}" name="passord" dataDxfId="86"/>
    <tableColumn id="3" xr3:uid="{00000000-0010-0000-0900-000003000000}" name="vty_lines" dataDxfId="85"/>
    <tableColumn id="2" xr3:uid="{00000000-0010-0000-0900-000002000000}" name="secret" dataDxfId="84"/>
    <tableColumn id="6" xr3:uid="{00000000-0010-0000-0900-000006000000}" name="etherchan_num" dataDxfId="83"/>
    <tableColumn id="7" xr3:uid="{00000000-0010-0000-0900-000007000000}" name="span_mode" dataDxfId="82"/>
    <tableColumn id="8" xr3:uid="{BFD011F6-587B-466E-BAE0-BEEA0A83891E}" name="erspan_destination" dataDxfId="81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B000000}" name="Tabell161824282532" displayName="Tabell161824282532" ref="A28:L29" totalsRowShown="0">
  <tableColumns count="12">
    <tableColumn id="1" xr3:uid="{00000000-0010-0000-0B00-000001000000}" name="SW" dataDxfId="80">
      <calculatedColumnFormula>(ROW())-(ROW()-1)</calculatedColumnFormula>
    </tableColumn>
    <tableColumn id="2" xr3:uid="{00000000-0010-0000-0B00-000002000000}" name="MGMT Vlan" dataDxfId="79"/>
    <tableColumn id="3" xr3:uid="{00000000-0010-0000-0B00-000003000000}" name="MGMT ip" dataDxfId="78">
      <calculatedColumnFormula>LEFT($G$5,LEN($G$5)-1)&amp;(RIGHT($G$5,1)+A29)</calculatedColumnFormula>
    </tableColumn>
    <tableColumn id="4" xr3:uid="{00000000-0010-0000-0B00-000004000000}" name="gateway" dataDxfId="77">
      <calculatedColumnFormula>$E$5</calculatedColumnFormula>
    </tableColumn>
    <tableColumn id="5" xr3:uid="{00000000-0010-0000-0B00-000005000000}" name="mask" dataDxfId="76">
      <calculatedColumnFormula>$F$5</calculatedColumnFormula>
    </tableColumn>
    <tableColumn id="10" xr3:uid="{00000000-0010-0000-0B00-00000A000000}" name="num_ports_tot" dataDxfId="75"/>
    <tableColumn id="11" xr3:uid="{00000000-0010-0000-0B00-00000B000000}" name="skiped_ports" dataDxfId="74"/>
    <tableColumn id="6" xr3:uid="{00000000-0010-0000-0B00-000006000000}" name="num_downlink" dataDxfId="73"/>
    <tableColumn id="7" xr3:uid="{00000000-0010-0000-0B00-000007000000}" name="vlan-antall" dataDxfId="72"/>
    <tableColumn id="8" xr3:uid="{00000000-0010-0000-0B00-000008000000}" name="intf_prefix" dataDxfId="71"/>
    <tableColumn id="9" xr3:uid="{00000000-0010-0000-0B00-000009000000}" name="num_port_ledig" dataDxfId="70">
      <calculatedColumnFormula>IF($A29=1,F29-G29-H29*$F$26-2,F29-G29-(1+H29)*$F$26-1)</calculatedColumnFormula>
    </tableColumn>
    <tableColumn id="12" xr3:uid="{5BF5BD4F-225D-489A-8CDF-AAA6E48E5D60}" name="MONITORING ip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4A8FD4-8571-4BCC-85D4-2B5A07AC1330}" name="Tabell62" displayName="Tabell62" ref="A4:K9">
  <tableColumns count="11">
    <tableColumn id="1" xr3:uid="{51A00784-472E-49CF-AB4A-279D1E5F7B9C}" name="vrf"/>
    <tableColumn id="2" xr3:uid="{0AC213EB-F23B-417D-9F08-693C5016AF16}" name="vlan"/>
    <tableColumn id="3" xr3:uid="{30AB63AA-0A28-4CCA-9ED5-30D361B8C76A}" name="interface"/>
    <tableColumn id="4" xr3:uid="{A0462661-F868-403F-A123-45EAFE448835}" name="nett id">
      <calculatedColumnFormula>10&amp;"."&amp;(B5+$A$2)&amp;"."&amp;0&amp;"."&amp;0</calculatedColumnFormula>
    </tableColumn>
    <tableColumn id="5" xr3:uid="{53173473-4848-4094-B887-60D154C9D1A3}" name="gateway">
      <calculatedColumnFormula>LEFT(D5,LEN(D5)-1)&amp;"1"</calculatedColumnFormula>
    </tableColumn>
    <tableColumn id="6" xr3:uid="{0EF4F429-8CF5-4E5D-BAB2-A0706E9A911A}" name="mask"/>
    <tableColumn id="7" xr3:uid="{C14D05D9-1F50-4794-BF3B-FAC75A4167EA}" name="address min">
      <calculatedColumnFormula>LEFT(D5,LEN(D5)-1)&amp;"1"</calculatedColumnFormula>
    </tableColumn>
    <tableColumn id="8" xr3:uid="{3FDE25A7-0BCB-41BA-9E6B-B97A44D97EF9}" name="address max"/>
    <tableColumn id="9" xr3:uid="{4F21A854-19B3-4F08-8736-4A49F53BB969}" name="antall-res" dataDxfId="69"/>
    <tableColumn id="10" xr3:uid="{EB637840-6D35-4793-BE43-FF44BBC60DCE}" name="pri-afxx"/>
    <tableColumn id="11" xr3:uid="{99B9B3BB-6A06-4A9B-B262-495BFC762025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EAB4086-8D7B-4A54-842E-F5FF605F74B3}" name="Tabell77" displayName="Tabell77" ref="A11:C16">
  <tableColumns count="3">
    <tableColumn id="1" xr3:uid="{2DDE23F5-B55E-41DC-9821-E156BB4192AB}" name="vrf"/>
    <tableColumn id="3" xr3:uid="{4B983E8F-FEC0-4EB3-9057-196596922493}" name="loopback"/>
    <tableColumn id="4" xr3:uid="{0BF06AAB-2838-4BC9-B570-20B71610B1A2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9423377-EE71-45EC-AE04-512C3676B300}" name="Tabell18" displayName="Tabell18" ref="A1:I2" dataDxfId="41">
  <tableColumns count="9">
    <tableColumn id="1" xr3:uid="{C426CE2C-D824-495E-9943-0D5ED22178FC}" name="site" dataDxfId="40"/>
    <tableColumn id="2" xr3:uid="{BD14A14C-CA02-4292-9A53-DBBFAEFFB41E}" name="intf_prefix" dataDxfId="39"/>
    <tableColumn id="3" xr3:uid="{1E884DEF-6FA0-43D2-90D1-A472ED2D772F}" name="router-id" dataDxfId="38">
      <calculatedColumnFormula>A2&amp;"."&amp;A2&amp;"."&amp;A2&amp;".0"</calculatedColumnFormula>
    </tableColumn>
    <tableColumn id="4" xr3:uid="{5C62684E-F01D-41F8-91C7-33CAC2305C15}" name="brukernavn" dataDxfId="37"/>
    <tableColumn id="5" xr3:uid="{270B3B2A-8408-4EDF-B211-8DE1F1AB0681}" name="passord" dataDxfId="36"/>
    <tableColumn id="6" xr3:uid="{9804D10C-4308-4EBD-A637-0ED093054024}" name="vty_lines" dataDxfId="35"/>
    <tableColumn id="7" xr3:uid="{B0910EE6-E1E3-4DBC-9F9C-47058BA9B153}" name="secret" dataDxfId="34"/>
    <tableColumn id="8" xr3:uid="{D19E2A7E-21D0-4E2A-88C9-9F37D9A65437}" name="tacacs_key" dataDxfId="33">
      <calculatedColumnFormula>'Site 1 (HUB)'!H2</calculatedColumnFormula>
    </tableColumn>
    <tableColumn id="9" xr3:uid="{068D3A60-B781-41C3-BF0A-B042AD809343}" name="dns_servers" dataDxfId="32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6493EE3-7235-424D-A185-8FB87B73E9D5}" name="Tabell49" displayName="Tabell49" ref="A18:J23" dataDxfId="31">
  <tableColumns count="10">
    <tableColumn id="1" xr3:uid="{14E90C76-B5F6-4A0B-A8EA-BBD1846F7ADE}" name="tunnel id" dataDxfId="30"/>
    <tableColumn id="2" xr3:uid="{1DD92107-ED9E-41DA-9538-710D3656664D}" name="vrf" dataDxfId="29"/>
    <tableColumn id="3" xr3:uid="{9CD976E2-E62F-4E14-BA9A-80672F5BC615}" name="ip address" dataDxfId="28">
      <calculatedColumnFormula>172&amp;"."&amp;16&amp;"."&amp;0&amp;"."&amp;(H19+$A$2)</calculatedColumnFormula>
    </tableColumn>
    <tableColumn id="4" xr3:uid="{D92BBF85-664B-4383-9EDD-4C7538D00C07}" name="mask" dataDxfId="27"/>
    <tableColumn id="5" xr3:uid="{41200B4B-99C3-46CD-8919-D19A650DFC09}" name="source" dataDxfId="26">
      <calculatedColumnFormula>$C$2</calculatedColumnFormula>
    </tableColumn>
    <tableColumn id="6" xr3:uid="{181D5214-8751-4D00-98A5-040FCE4E5826}" name="destination" dataDxfId="25"/>
    <tableColumn id="7" xr3:uid="{595FE496-14D9-4619-8CC2-BDE4B0AE5AE1}" name="gre mode" dataDxfId="24"/>
    <tableColumn id="8" xr3:uid="{C91D47FC-885E-4808-80A0-244D7156BD13}" name="network-id" dataDxfId="23"/>
    <tableColumn id="9" xr3:uid="{D7BBBCE6-3579-420D-920C-EF19B478A7C2}" name="ipsec" dataDxfId="22"/>
    <tableColumn id="10" xr3:uid="{E379820A-7358-40BE-83E4-07100824C704}" name="ipsec key" dataDxfId="21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318DFAD-8A4D-4CFA-8FA6-6B5A78470C24}" name="Tabell1319253010" displayName="Tabell1319253010" ref="A25:H26" dataDxfId="20">
  <tableColumns count="8">
    <tableColumn id="1" xr3:uid="{F6D980DA-8008-4018-B306-D36AE654DA5F}" name="site" dataDxfId="19">
      <calculatedColumnFormula>A2</calculatedColumnFormula>
    </tableColumn>
    <tableColumn id="4" xr3:uid="{0D82B2DE-B4FA-4290-8C52-0CD4C0EAA67D}" name="brukernavn" dataDxfId="18"/>
    <tableColumn id="5" xr3:uid="{27B9EF4E-512F-4DAC-8CB6-D2912CB2CDDA}" name="passord" dataDxfId="17"/>
    <tableColumn id="3" xr3:uid="{6414CFB9-90E9-4655-838B-2676C80D7C06}" name="vty_lines" dataDxfId="16"/>
    <tableColumn id="2" xr3:uid="{D51FD26F-2705-47EA-AED0-D3C21699B51F}" name="secret" dataDxfId="15"/>
    <tableColumn id="6" xr3:uid="{ABC2D354-96CD-4993-8E5C-3CCEFAEF4846}" name="etherchan_num" dataDxfId="14"/>
    <tableColumn id="7" xr3:uid="{3F9B25BE-C31E-4660-A97F-1B6AF14759A6}" name="span_mode" dataDxfId="13"/>
    <tableColumn id="8" xr3:uid="{CA2E1FD4-EBFB-4BF5-8DD2-EE090C2F889B}" name="erspan_destination" dataDxfId="12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BA68FF7-7C6C-4673-9B18-11015BB5ECE9}" name="Tabell16182428253212" displayName="Tabell16182428253212" ref="A28:L29" totalsRowShown="0">
  <tableColumns count="12">
    <tableColumn id="1" xr3:uid="{8ADEAF6D-0562-4F81-93E4-69481AB6E718}" name="SW" dataDxfId="11">
      <calculatedColumnFormula>(ROW())-(ROW()-1)</calculatedColumnFormula>
    </tableColumn>
    <tableColumn id="2" xr3:uid="{795F6504-A97F-4DFB-87AB-D0C3A93E475F}" name="MGMT Vlan" dataDxfId="10"/>
    <tableColumn id="3" xr3:uid="{074C8822-FEF3-4C00-8C20-E4AAA6F87C8F}" name="MGMT ip" dataDxfId="9">
      <calculatedColumnFormula>LEFT($G$5,LEN($G$5)-1)&amp;(RIGHT($G$5,1)+A29)</calculatedColumnFormula>
    </tableColumn>
    <tableColumn id="4" xr3:uid="{9E7BBCA3-A734-4692-A8F8-31365B75A063}" name="gateway" dataDxfId="8">
      <calculatedColumnFormula>$E$5</calculatedColumnFormula>
    </tableColumn>
    <tableColumn id="5" xr3:uid="{B9D0B580-B85A-45C6-8EE9-922E6A0BDCD5}" name="mask" dataDxfId="7">
      <calculatedColumnFormula>$F$5</calculatedColumnFormula>
    </tableColumn>
    <tableColumn id="10" xr3:uid="{136103A4-087C-4FA7-8332-FE71D232375E}" name="num_ports_tot" dataDxfId="6"/>
    <tableColumn id="11" xr3:uid="{A0C44AB8-80BB-4052-A5FD-EE8530AB6772}" name="skiped_ports" dataDxfId="5"/>
    <tableColumn id="6" xr3:uid="{52404E39-8CD5-4B37-A91F-C35409540738}" name="num_downlink" dataDxfId="4"/>
    <tableColumn id="7" xr3:uid="{5B37CE82-3036-45D8-A546-50FF289EDBAD}" name="vlan-antall" dataDxfId="3"/>
    <tableColumn id="8" xr3:uid="{79F10BE9-3D80-4FF6-A4B6-9184B24A72B4}" name="intf_prefix" dataDxfId="2"/>
    <tableColumn id="9" xr3:uid="{5CB772C2-CF05-454F-BBBD-8EDEC112C696}" name="num_port_ledig" dataDxfId="0">
      <calculatedColumnFormula>IF($A29=1,F29-G29-H29*$F$26-2,F29-G29-(1+H29)*$F$26-1)</calculatedColumnFormula>
    </tableColumn>
    <tableColumn id="12" xr3:uid="{065F9F0A-8DB1-44A2-B7B3-97742E5CD0E1}" name="MONITORING ip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B0B071-F602-4A16-BA0D-4B172283BAE9}" name="Tabell6214" displayName="Tabell6214" ref="A4:K9">
  <tableColumns count="11">
    <tableColumn id="1" xr3:uid="{94861C51-5403-456D-87AF-7FC76DBA28A5}" name="vrf"/>
    <tableColumn id="2" xr3:uid="{50243E8E-018E-40C1-A37D-ED67F4B092B0}" name="vlan"/>
    <tableColumn id="3" xr3:uid="{A63B107D-5FA2-40D8-A99A-E280CFCC8C79}" name="interface"/>
    <tableColumn id="4" xr3:uid="{A4267435-D295-44C3-B51E-0D1F4DD5C78B}" name="nett id">
      <calculatedColumnFormula>10&amp;"."&amp;(B5+$A$2)&amp;"."&amp;0&amp;"."&amp;0</calculatedColumnFormula>
    </tableColumn>
    <tableColumn id="5" xr3:uid="{DC7B96FF-EAB7-4E6B-8DE8-85902CDECD19}" name="gateway">
      <calculatedColumnFormula>LEFT(D5,LEN(D5)-1)&amp;"1"</calculatedColumnFormula>
    </tableColumn>
    <tableColumn id="6" xr3:uid="{1D8E9334-405A-4906-8238-47E036EC7609}" name="mask"/>
    <tableColumn id="7" xr3:uid="{B5F525F7-1C0B-4D5D-BD37-F7614B933163}" name="address min">
      <calculatedColumnFormula>LEFT(D5,LEN(D5)-1)&amp;"1"</calculatedColumnFormula>
    </tableColumn>
    <tableColumn id="8" xr3:uid="{BB245EF9-E497-4445-9E11-811371F6669C}" name="address max"/>
    <tableColumn id="9" xr3:uid="{8BE1DAE2-2DC3-4655-8CD3-ACB1B1D4A0F3}" name="antall-res" dataDxfId="1"/>
    <tableColumn id="10" xr3:uid="{7934A4A2-4EDA-4DF0-9DAF-BA3DD0375EC2}" name="pri-afxx"/>
    <tableColumn id="11" xr3:uid="{D8ADAB0C-E2D6-490F-A501-86D8C692367E}" name="pri-1-10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6A134F-5EA0-448A-B9C1-D15432398AB5}" name="Tabell7715" displayName="Tabell7715" ref="A11:C16">
  <tableColumns count="3">
    <tableColumn id="1" xr3:uid="{FA02FDEA-9585-4542-97E7-C1202764FFEC}" name="vrf"/>
    <tableColumn id="3" xr3:uid="{840408ED-7E47-4F28-B0EB-9EDF05B3AEB2}" name="loopback"/>
    <tableColumn id="4" xr3:uid="{FCE403FB-283B-4BF0-B99C-780D900D988D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5"/>
  <sheetViews>
    <sheetView tabSelected="1" workbookViewId="0">
      <selection activeCell="K30" sqref="K30"/>
    </sheetView>
  </sheetViews>
  <sheetFormatPr defaultColWidth="12.5703125" defaultRowHeight="12.75" x14ac:dyDescent="0.2"/>
  <cols>
    <col min="1" max="1" width="16.28515625" bestFit="1" customWidth="1"/>
    <col min="2" max="2" width="15.28515625" bestFit="1" customWidth="1"/>
    <col min="3" max="3" width="66" customWidth="1"/>
    <col min="4" max="4" width="12.28515625" customWidth="1"/>
    <col min="5" max="5" width="66" customWidth="1"/>
    <col min="6" max="6" width="15.85546875" customWidth="1"/>
    <col min="7" max="7" width="66" customWidth="1"/>
    <col min="8" max="8" width="22" customWidth="1"/>
    <col min="9" max="9" width="25.5703125" customWidth="1"/>
    <col min="10" max="10" width="12.7109375" customWidth="1"/>
    <col min="11" max="11" width="39.28515625" customWidth="1"/>
    <col min="12" max="12" width="18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1" ht="15.75" customHeight="1" x14ac:dyDescent="0.2">
      <c r="A2" s="2">
        <v>1</v>
      </c>
      <c r="B2" s="2" t="s">
        <v>10</v>
      </c>
      <c r="C2" s="2" t="str">
        <f>A2&amp;"."&amp;A2&amp;"."&amp;A2&amp;".0"</f>
        <v>1.1.1.0</v>
      </c>
      <c r="D2" s="2" t="s">
        <v>11</v>
      </c>
      <c r="E2" s="2" t="s">
        <v>12</v>
      </c>
      <c r="F2" s="2" t="s">
        <v>13</v>
      </c>
      <c r="G2" s="2" t="s">
        <v>12</v>
      </c>
      <c r="H2" s="2" t="s">
        <v>14</v>
      </c>
      <c r="I2" s="2" t="b">
        <v>1</v>
      </c>
      <c r="J2" s="13" t="s">
        <v>15</v>
      </c>
    </row>
    <row r="3" spans="1:11" ht="15.75" customHeight="1" x14ac:dyDescent="0.25">
      <c r="A3" s="4"/>
      <c r="B3" s="5"/>
      <c r="C3" s="4"/>
      <c r="D3" s="4"/>
      <c r="E3" s="4"/>
      <c r="F3" s="4"/>
      <c r="G3" s="4"/>
      <c r="H3" s="4"/>
    </row>
    <row r="4" spans="1:11" ht="15.75" customHeight="1" x14ac:dyDescent="0.2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  <c r="J4" s="7" t="s">
        <v>25</v>
      </c>
      <c r="K4" s="7" t="s">
        <v>26</v>
      </c>
    </row>
    <row r="5" spans="1:11" ht="15.75" customHeight="1" x14ac:dyDescent="0.2">
      <c r="A5" s="8" t="s">
        <v>27</v>
      </c>
      <c r="B5" s="9">
        <v>10</v>
      </c>
      <c r="C5" s="8">
        <v>0</v>
      </c>
      <c r="D5" s="8" t="str">
        <f>10&amp;"."&amp;(B5+$A$2)&amp;"."&amp;0&amp;"."&amp;0</f>
        <v>10.11.0.0</v>
      </c>
      <c r="E5" s="8" t="str">
        <f>LEFT(D5,LEN(D5)-1)&amp;"1"</f>
        <v>10.11.0.1</v>
      </c>
      <c r="F5" s="8" t="s">
        <v>28</v>
      </c>
      <c r="G5" s="8" t="str">
        <f t="shared" ref="G5:G7" si="0">LEFT(D5,LEN(D5)-1)&amp;"1"</f>
        <v>10.11.0.1</v>
      </c>
      <c r="H5" s="8" t="str">
        <f>LEFT(D5,FIND(".",D5,FIND(".",D5)+1)-1)&amp;".255.254"</f>
        <v>10.11.255.254</v>
      </c>
      <c r="I5" s="8">
        <v>10</v>
      </c>
      <c r="J5" s="10">
        <v>21</v>
      </c>
      <c r="K5" s="10">
        <v>5</v>
      </c>
    </row>
    <row r="6" spans="1:11" ht="15.75" customHeight="1" x14ac:dyDescent="0.2">
      <c r="A6" s="8" t="s">
        <v>29</v>
      </c>
      <c r="B6" s="9">
        <v>20</v>
      </c>
      <c r="C6" s="8">
        <v>0</v>
      </c>
      <c r="D6" s="8" t="str">
        <f t="shared" ref="D6:D9" si="1">10&amp;"."&amp;(B6+$A$2)&amp;"."&amp;0&amp;"."&amp;0</f>
        <v>10.21.0.0</v>
      </c>
      <c r="E6" s="8" t="str">
        <f t="shared" ref="E6:E7" si="2">LEFT(D6,LEN(D6)-1)&amp;"1"</f>
        <v>10.21.0.1</v>
      </c>
      <c r="F6" s="8" t="s">
        <v>28</v>
      </c>
      <c r="G6" s="8" t="str">
        <f t="shared" si="0"/>
        <v>10.21.0.1</v>
      </c>
      <c r="H6" s="8" t="str">
        <f>LEFT(D6,FIND(".",D6,FIND(".",D6)+1)-1)&amp;".255.254"</f>
        <v>10.21.255.254</v>
      </c>
      <c r="I6" s="8">
        <v>10</v>
      </c>
      <c r="J6" s="10">
        <v>11</v>
      </c>
      <c r="K6" s="10">
        <v>2</v>
      </c>
    </row>
    <row r="7" spans="1:11" ht="15.75" customHeight="1" x14ac:dyDescent="0.2">
      <c r="A7" s="8" t="s">
        <v>30</v>
      </c>
      <c r="B7" s="9">
        <v>30</v>
      </c>
      <c r="C7" s="8">
        <v>0</v>
      </c>
      <c r="D7" s="8" t="str">
        <f t="shared" si="1"/>
        <v>10.31.0.0</v>
      </c>
      <c r="E7" s="8" t="str">
        <f t="shared" si="2"/>
        <v>10.31.0.1</v>
      </c>
      <c r="F7" s="8" t="s">
        <v>28</v>
      </c>
      <c r="G7" s="8" t="str">
        <f t="shared" si="0"/>
        <v>10.31.0.1</v>
      </c>
      <c r="H7" s="8" t="str">
        <f>LEFT(D7,FIND(".",D7,FIND(".",D7)+1)-1)&amp;".255.254"</f>
        <v>10.31.255.254</v>
      </c>
      <c r="I7" s="8">
        <v>10</v>
      </c>
      <c r="J7">
        <v>42</v>
      </c>
      <c r="K7">
        <v>7</v>
      </c>
    </row>
    <row r="8" spans="1:11" ht="15.75" customHeight="1" x14ac:dyDescent="0.2">
      <c r="A8" s="8" t="s">
        <v>31</v>
      </c>
      <c r="B8" s="9">
        <v>40</v>
      </c>
      <c r="C8" s="8">
        <v>0</v>
      </c>
      <c r="D8" s="8" t="str">
        <f t="shared" si="1"/>
        <v>10.41.0.0</v>
      </c>
      <c r="E8" s="8" t="str">
        <f t="shared" ref="E8" si="3">LEFT(D8,LEN(D8)-1)&amp;"1"</f>
        <v>10.41.0.1</v>
      </c>
      <c r="F8" s="8" t="s">
        <v>28</v>
      </c>
      <c r="G8" s="8" t="str">
        <f t="shared" ref="G8" si="4">LEFT(D8,LEN(D8)-1)&amp;"1"</f>
        <v>10.41.0.1</v>
      </c>
      <c r="H8" s="8" t="str">
        <f>LEFT(D8,FIND(".",D8,FIND(".",D8)+1)-1)&amp;".255.254"</f>
        <v>10.41.255.254</v>
      </c>
      <c r="I8" s="8">
        <v>10</v>
      </c>
      <c r="J8">
        <v>41</v>
      </c>
      <c r="K8">
        <v>10</v>
      </c>
    </row>
    <row r="9" spans="1:11" ht="15.75" customHeight="1" x14ac:dyDescent="0.2">
      <c r="A9" s="8" t="s">
        <v>63</v>
      </c>
      <c r="B9" s="9">
        <v>50</v>
      </c>
      <c r="C9" s="8">
        <v>0</v>
      </c>
      <c r="D9" s="8" t="str">
        <f t="shared" si="1"/>
        <v>10.51.0.0</v>
      </c>
      <c r="E9" s="8" t="str">
        <f t="shared" ref="E9" si="5">LEFT(D9,LEN(D9)-1)&amp;"1"</f>
        <v>10.51.0.1</v>
      </c>
      <c r="F9" s="8" t="s">
        <v>43</v>
      </c>
      <c r="G9" s="8" t="str">
        <f t="shared" ref="G9" si="6">LEFT(D9,LEN(D9)-1)&amp;"1"</f>
        <v>10.51.0.1</v>
      </c>
      <c r="H9" s="8" t="str">
        <f>LEFT(D9,FIND(".",D9,FIND(".",D9)+1)-1)&amp;".0.254"</f>
        <v>10.51.0.254</v>
      </c>
      <c r="I9" s="8">
        <v>10</v>
      </c>
      <c r="J9">
        <v>43</v>
      </c>
      <c r="K9">
        <v>10</v>
      </c>
    </row>
    <row r="10" spans="1:11" ht="15.75" customHeight="1" x14ac:dyDescent="0.2">
      <c r="A10" s="3"/>
      <c r="B10" s="3"/>
    </row>
    <row r="11" spans="1:11" ht="15.75" customHeight="1" x14ac:dyDescent="0.2">
      <c r="A11" s="6" t="s">
        <v>16</v>
      </c>
      <c r="B11" s="6" t="s">
        <v>32</v>
      </c>
      <c r="C11" s="6" t="s">
        <v>33</v>
      </c>
    </row>
    <row r="12" spans="1:11" ht="15.75" customHeight="1" x14ac:dyDescent="0.2">
      <c r="A12" s="8" t="s">
        <v>27</v>
      </c>
      <c r="B12" s="8">
        <v>10</v>
      </c>
      <c r="C12" s="8" t="str">
        <f>$A$2&amp;"."&amp;$A$2&amp;"."&amp;$A$2&amp;"."&amp;(B12)</f>
        <v>1.1.1.10</v>
      </c>
    </row>
    <row r="13" spans="1:11" ht="15.75" customHeight="1" x14ac:dyDescent="0.2">
      <c r="A13" s="8" t="s">
        <v>29</v>
      </c>
      <c r="B13" s="8">
        <v>20</v>
      </c>
      <c r="C13" s="8" t="str">
        <f t="shared" ref="C13:C15" si="7">$A$2&amp;"."&amp;$A$2&amp;"."&amp;$A$2&amp;"."&amp;(B13)</f>
        <v>1.1.1.20</v>
      </c>
    </row>
    <row r="14" spans="1:11" ht="15.75" customHeight="1" x14ac:dyDescent="0.2">
      <c r="A14" s="8" t="s">
        <v>30</v>
      </c>
      <c r="B14" s="8">
        <v>30</v>
      </c>
      <c r="C14" s="8" t="str">
        <f t="shared" si="7"/>
        <v>1.1.1.30</v>
      </c>
    </row>
    <row r="15" spans="1:11" ht="15.75" customHeight="1" x14ac:dyDescent="0.2">
      <c r="A15" s="8" t="s">
        <v>31</v>
      </c>
      <c r="B15" s="8">
        <v>40</v>
      </c>
      <c r="C15" s="8" t="str">
        <f t="shared" si="7"/>
        <v>1.1.1.40</v>
      </c>
    </row>
    <row r="16" spans="1:11" ht="15.75" customHeight="1" x14ac:dyDescent="0.2">
      <c r="A16" s="8" t="s">
        <v>63</v>
      </c>
      <c r="B16" s="8">
        <v>50</v>
      </c>
      <c r="C16" s="8" t="str">
        <f t="shared" ref="C16" si="8">$A$2&amp;"."&amp;$A$2&amp;"."&amp;$A$2&amp;"."&amp;(B16)</f>
        <v>1.1.1.50</v>
      </c>
    </row>
    <row r="17" spans="1:12" ht="15.75" customHeight="1" x14ac:dyDescent="0.2"/>
    <row r="18" spans="1:12" ht="15.75" customHeight="1" x14ac:dyDescent="0.2">
      <c r="A18" s="6" t="s">
        <v>34</v>
      </c>
      <c r="B18" s="6" t="s">
        <v>16</v>
      </c>
      <c r="C18" s="6" t="s">
        <v>35</v>
      </c>
      <c r="D18" s="6" t="s">
        <v>21</v>
      </c>
      <c r="E18" s="6" t="s">
        <v>36</v>
      </c>
      <c r="F18" s="6" t="s">
        <v>37</v>
      </c>
      <c r="G18" s="6" t="s">
        <v>38</v>
      </c>
      <c r="H18" s="1" t="s">
        <v>39</v>
      </c>
      <c r="I18" s="1" t="s">
        <v>40</v>
      </c>
      <c r="J18" s="1" t="s">
        <v>41</v>
      </c>
    </row>
    <row r="19" spans="1:12" ht="15.75" customHeight="1" x14ac:dyDescent="0.2">
      <c r="A19" s="8" t="s">
        <v>42</v>
      </c>
      <c r="B19" s="8" t="s">
        <v>27</v>
      </c>
      <c r="C19" s="8" t="str">
        <f>172&amp;"."&amp;16&amp;"."&amp;0&amp;"."&amp;(H19+$A$2)</f>
        <v>172.16.0.11</v>
      </c>
      <c r="D19" s="8" t="s">
        <v>43</v>
      </c>
      <c r="E19" s="8" t="str">
        <f t="shared" ref="E19:E23" si="9">$C$2</f>
        <v>1.1.1.0</v>
      </c>
      <c r="F19" s="8"/>
      <c r="G19" s="8" t="s">
        <v>44</v>
      </c>
      <c r="H19" s="2">
        <v>10</v>
      </c>
      <c r="I19" s="2"/>
      <c r="J19" s="2"/>
    </row>
    <row r="20" spans="1:12" ht="15.75" customHeight="1" x14ac:dyDescent="0.2">
      <c r="A20" s="8" t="s">
        <v>45</v>
      </c>
      <c r="B20" s="8" t="s">
        <v>29</v>
      </c>
      <c r="C20" s="8" t="str">
        <f t="shared" ref="C20:C21" si="10">172&amp;"."&amp;16&amp;"."&amp;0&amp;"."&amp;(H20+$A$2)</f>
        <v>172.16.0.21</v>
      </c>
      <c r="D20" s="8" t="s">
        <v>43</v>
      </c>
      <c r="E20" s="8" t="str">
        <f t="shared" si="9"/>
        <v>1.1.1.0</v>
      </c>
      <c r="F20" s="8"/>
      <c r="G20" s="8" t="s">
        <v>44</v>
      </c>
      <c r="H20" s="2">
        <v>20</v>
      </c>
      <c r="I20" s="2"/>
      <c r="J20" s="2"/>
    </row>
    <row r="21" spans="1:12" ht="15.75" customHeight="1" x14ac:dyDescent="0.2">
      <c r="A21" s="8" t="s">
        <v>46</v>
      </c>
      <c r="B21" s="8" t="s">
        <v>30</v>
      </c>
      <c r="C21" s="8" t="str">
        <f t="shared" si="10"/>
        <v>172.16.0.31</v>
      </c>
      <c r="D21" s="8" t="s">
        <v>43</v>
      </c>
      <c r="E21" s="8" t="str">
        <f t="shared" si="9"/>
        <v>1.1.1.0</v>
      </c>
      <c r="F21" s="8"/>
      <c r="G21" s="8" t="s">
        <v>44</v>
      </c>
      <c r="H21" s="2">
        <v>30</v>
      </c>
      <c r="I21" s="2" t="b">
        <v>1</v>
      </c>
      <c r="J21" s="2"/>
    </row>
    <row r="22" spans="1:12" ht="15.75" customHeight="1" x14ac:dyDescent="0.2">
      <c r="A22" s="8" t="s">
        <v>47</v>
      </c>
      <c r="B22" s="8" t="s">
        <v>31</v>
      </c>
      <c r="C22" s="8" t="str">
        <f t="shared" ref="C22" si="11">172&amp;"."&amp;16&amp;"."&amp;0&amp;"."&amp;(H22+$A$2)</f>
        <v>172.16.0.41</v>
      </c>
      <c r="D22" s="8" t="s">
        <v>43</v>
      </c>
      <c r="E22" s="8" t="str">
        <f t="shared" si="9"/>
        <v>1.1.1.0</v>
      </c>
      <c r="F22" s="8"/>
      <c r="G22" s="8" t="s">
        <v>44</v>
      </c>
      <c r="H22" s="2">
        <v>40</v>
      </c>
      <c r="I22" s="2" t="b">
        <v>1</v>
      </c>
      <c r="J22" s="2"/>
    </row>
    <row r="23" spans="1:12" ht="15.75" customHeight="1" x14ac:dyDescent="0.2">
      <c r="A23" s="8" t="s">
        <v>62</v>
      </c>
      <c r="B23" s="8" t="s">
        <v>63</v>
      </c>
      <c r="C23" s="8" t="str">
        <f t="shared" ref="C23" si="12">172&amp;"."&amp;16&amp;"."&amp;0&amp;"."&amp;(H23+$A$2)</f>
        <v>172.16.0.51</v>
      </c>
      <c r="D23" s="8" t="s">
        <v>43</v>
      </c>
      <c r="E23" s="8" t="str">
        <f t="shared" si="9"/>
        <v>1.1.1.0</v>
      </c>
      <c r="F23" s="8"/>
      <c r="G23" s="8" t="s">
        <v>44</v>
      </c>
      <c r="H23" s="2">
        <v>50</v>
      </c>
      <c r="I23" s="2" t="b">
        <v>1</v>
      </c>
      <c r="J23" s="2"/>
    </row>
    <row r="24" spans="1:12" ht="15.75" customHeight="1" x14ac:dyDescent="0.2">
      <c r="A24" s="12"/>
      <c r="B24" s="12"/>
      <c r="C24" s="12"/>
      <c r="D24" s="12"/>
      <c r="E24" s="12"/>
      <c r="F24" s="12"/>
      <c r="G24" s="12"/>
    </row>
    <row r="25" spans="1:12" ht="15.75" customHeight="1" x14ac:dyDescent="0.2">
      <c r="A25" s="1" t="s">
        <v>0</v>
      </c>
      <c r="B25" s="1" t="s">
        <v>3</v>
      </c>
      <c r="C25" s="1" t="s">
        <v>4</v>
      </c>
      <c r="D25" s="1" t="s">
        <v>5</v>
      </c>
      <c r="E25" s="1" t="s">
        <v>6</v>
      </c>
      <c r="F25" s="1" t="s">
        <v>48</v>
      </c>
      <c r="G25" s="1" t="s">
        <v>49</v>
      </c>
      <c r="H25" t="s">
        <v>60</v>
      </c>
    </row>
    <row r="26" spans="1:12" ht="28.7" customHeight="1" x14ac:dyDescent="0.2">
      <c r="A26" s="2">
        <f>A2</f>
        <v>1</v>
      </c>
      <c r="B26" s="2" t="s">
        <v>11</v>
      </c>
      <c r="C26" s="2" t="s">
        <v>12</v>
      </c>
      <c r="D26" s="2" t="s">
        <v>13</v>
      </c>
      <c r="E26" s="2" t="s">
        <v>12</v>
      </c>
      <c r="F26" s="2">
        <v>2</v>
      </c>
      <c r="G26" s="2" t="s">
        <v>50</v>
      </c>
      <c r="H26" s="20" t="s">
        <v>64</v>
      </c>
    </row>
    <row r="27" spans="1:12" ht="15.75" customHeight="1" x14ac:dyDescent="0.2"/>
    <row r="28" spans="1:12" ht="39" customHeight="1" x14ac:dyDescent="0.2">
      <c r="A28" s="15" t="s">
        <v>51</v>
      </c>
      <c r="B28" s="15" t="s">
        <v>52</v>
      </c>
      <c r="C28" s="15" t="s">
        <v>53</v>
      </c>
      <c r="D28" s="15" t="s">
        <v>20</v>
      </c>
      <c r="E28" s="15" t="s">
        <v>21</v>
      </c>
      <c r="F28" s="15" t="s">
        <v>54</v>
      </c>
      <c r="G28" s="15" t="s">
        <v>55</v>
      </c>
      <c r="H28" s="15" t="s">
        <v>56</v>
      </c>
      <c r="I28" s="15" t="s">
        <v>57</v>
      </c>
      <c r="J28" s="15" t="s">
        <v>1</v>
      </c>
      <c r="K28" s="15" t="s">
        <v>58</v>
      </c>
      <c r="L28" t="s">
        <v>61</v>
      </c>
    </row>
    <row r="29" spans="1:12" ht="45" customHeight="1" x14ac:dyDescent="0.2">
      <c r="A29" s="8">
        <f>(ROW())-(ROW()-1)</f>
        <v>1</v>
      </c>
      <c r="B29" s="8">
        <v>10</v>
      </c>
      <c r="C29" s="8" t="str">
        <f>LEFT($G$5,LEN($G$5)-1)&amp;(RIGHT($G$5,1)+A29)</f>
        <v>10.11.0.2</v>
      </c>
      <c r="D29" s="8" t="str">
        <f>$E$5</f>
        <v>10.11.0.1</v>
      </c>
      <c r="E29" s="8" t="str">
        <f>$F$5</f>
        <v>255.255.0.0</v>
      </c>
      <c r="F29" s="8">
        <v>24</v>
      </c>
      <c r="G29" s="8">
        <v>1</v>
      </c>
      <c r="H29" s="11">
        <v>3</v>
      </c>
      <c r="I29" s="8" t="s">
        <v>59</v>
      </c>
      <c r="J29" s="2" t="s">
        <v>10</v>
      </c>
      <c r="K29" s="2">
        <f>IF($A29=1,F29-G29-H29*$F$26-2-IF(OR(UPPER($G$26)="SPAN", UPPER($G$26)="ERSPAN",UPPER($G$26)="RSPAN"),1,0),F29-G29-(1+H29)*$F$26-1)</f>
        <v>14</v>
      </c>
      <c r="L29" t="str">
        <f t="shared" ref="L29:L30" si="13">LEFT($G$9,LEN($G$9)-1)&amp;(RIGHT($G$9,1)+A29)</f>
        <v>10.51.0.2</v>
      </c>
    </row>
    <row r="30" spans="1:12" ht="15.75" customHeight="1" x14ac:dyDescent="0.2">
      <c r="A30" s="17">
        <v>2</v>
      </c>
      <c r="B30" s="17">
        <v>10</v>
      </c>
      <c r="C30" s="17" t="str">
        <f>LEFT($G$5,LEN($G$5)-1)&amp;(RIGHT($G$5,1)+A30)</f>
        <v>10.11.0.3</v>
      </c>
      <c r="D30" s="17" t="str">
        <f>$E$5</f>
        <v>10.11.0.1</v>
      </c>
      <c r="E30" s="17" t="str">
        <f>$F$5</f>
        <v>255.255.0.0</v>
      </c>
      <c r="F30" s="17">
        <v>24</v>
      </c>
      <c r="G30" s="17">
        <v>1</v>
      </c>
      <c r="H30" s="17">
        <v>0</v>
      </c>
      <c r="I30" s="16" t="s">
        <v>59</v>
      </c>
      <c r="J30" s="13" t="s">
        <v>10</v>
      </c>
      <c r="K30" s="2">
        <f>IF($A30=1,F30-G30-H30*$F$26-2-IF(OR(UPPER($G$26)="SPAN",UPPER($G$26)="RSPAN"),1,0),F30-G30-(1+H30)*$F$26-1)</f>
        <v>20</v>
      </c>
      <c r="L30" t="str">
        <f t="shared" si="13"/>
        <v>10.51.0.3</v>
      </c>
    </row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</sheetData>
  <dataValidations count="2">
    <dataValidation type="custom" allowBlank="1" showInputMessage="1" showErrorMessage="1" sqref="I29:I30" xr:uid="{00000000-0002-0000-0000-000000000000}">
      <formula1>IF(I29="",TRUE,SUM(--_xlfn.TEXTAFTER(_xlfn.TEXTSPLIT(I29,"-"),"."))&lt;=K29)</formula1>
    </dataValidation>
    <dataValidation type="list" sqref="G26" xr:uid="{00000000-0002-0000-0000-000001000000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8"/>
  <sheetViews>
    <sheetView workbookViewId="0">
      <selection activeCell="C45" sqref="C45"/>
    </sheetView>
  </sheetViews>
  <sheetFormatPr defaultColWidth="12.5703125" defaultRowHeight="14.25" x14ac:dyDescent="0.2"/>
  <cols>
    <col min="1" max="1" width="10.7109375" style="14" customWidth="1"/>
    <col min="2" max="2" width="13" style="14" customWidth="1"/>
    <col min="3" max="3" width="75.85546875" style="14" customWidth="1"/>
    <col min="4" max="4" width="12.28515625" style="14" customWidth="1"/>
    <col min="5" max="5" width="75.85546875" style="14" customWidth="1"/>
    <col min="6" max="6" width="16.85546875" style="14" customWidth="1"/>
    <col min="7" max="7" width="75.85546875" style="14" customWidth="1"/>
    <col min="8" max="8" width="22" style="14" customWidth="1"/>
    <col min="9" max="9" width="25.5703125" style="14" customWidth="1"/>
    <col min="10" max="10" width="11.28515625" style="14" customWidth="1"/>
    <col min="11" max="11" width="16.85546875" style="14" customWidth="1"/>
    <col min="12" max="12" width="18" customWidth="1"/>
    <col min="13" max="16384" width="12.5703125" style="14"/>
  </cols>
  <sheetData>
    <row r="1" spans="1:11" ht="15.75" customHeigh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9</v>
      </c>
    </row>
    <row r="2" spans="1:11" ht="15.75" customHeight="1" x14ac:dyDescent="0.2">
      <c r="A2" s="14">
        <v>2</v>
      </c>
      <c r="B2" s="14" t="s">
        <v>10</v>
      </c>
      <c r="C2" s="14" t="str">
        <f>A2&amp;"."&amp;A2&amp;"."&amp;A2&amp;".0"</f>
        <v>2.2.2.0</v>
      </c>
      <c r="D2" s="14" t="s">
        <v>11</v>
      </c>
      <c r="E2" s="14" t="s">
        <v>12</v>
      </c>
      <c r="F2" s="14" t="s">
        <v>13</v>
      </c>
      <c r="G2" s="14" t="s">
        <v>12</v>
      </c>
      <c r="H2" s="14" t="str">
        <f>'Site 1 (HUB)'!H2</f>
        <v>TACACS-KEY</v>
      </c>
      <c r="I2" s="14" t="s">
        <v>15</v>
      </c>
    </row>
    <row r="3" spans="1:11" ht="15.75" customHeight="1" x14ac:dyDescent="0.2"/>
    <row r="4" spans="1:11" ht="31.5" customHeight="1" x14ac:dyDescent="0.2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  <c r="J4" s="7" t="s">
        <v>25</v>
      </c>
      <c r="K4" s="7" t="s">
        <v>26</v>
      </c>
    </row>
    <row r="5" spans="1:11" ht="15.75" customHeight="1" x14ac:dyDescent="0.2">
      <c r="A5" s="8" t="s">
        <v>27</v>
      </c>
      <c r="B5" s="9">
        <v>10</v>
      </c>
      <c r="C5" s="8">
        <v>0</v>
      </c>
      <c r="D5" s="8" t="str">
        <f>10&amp;"."&amp;(B5+$A$2)&amp;"."&amp;0&amp;"."&amp;0</f>
        <v>10.12.0.0</v>
      </c>
      <c r="E5" s="8" t="str">
        <f>LEFT(D5,LEN(D5)-1)&amp;"1"</f>
        <v>10.12.0.1</v>
      </c>
      <c r="F5" s="8" t="s">
        <v>28</v>
      </c>
      <c r="G5" s="8" t="str">
        <f t="shared" ref="G5:G9" si="0">LEFT(D5,LEN(D5)-1)&amp;"1"</f>
        <v>10.12.0.1</v>
      </c>
      <c r="H5" s="8" t="str">
        <f>LEFT(D5,FIND(".",D5,FIND(".",D5)+1)-1)&amp;".255.254"</f>
        <v>10.12.255.254</v>
      </c>
      <c r="I5" s="8">
        <v>10</v>
      </c>
      <c r="J5" s="10">
        <v>21</v>
      </c>
      <c r="K5" s="10">
        <v>5</v>
      </c>
    </row>
    <row r="6" spans="1:11" ht="15.75" customHeight="1" x14ac:dyDescent="0.2">
      <c r="A6" s="8" t="s">
        <v>29</v>
      </c>
      <c r="B6" s="9">
        <v>20</v>
      </c>
      <c r="C6" s="8">
        <v>0</v>
      </c>
      <c r="D6" s="8" t="str">
        <f t="shared" ref="D6:D9" si="1">10&amp;"."&amp;(B6+$A$2)&amp;"."&amp;0&amp;"."&amp;0</f>
        <v>10.22.0.0</v>
      </c>
      <c r="E6" s="8" t="str">
        <f t="shared" ref="E6:E9" si="2">LEFT(D6,LEN(D6)-1)&amp;"1"</f>
        <v>10.22.0.1</v>
      </c>
      <c r="F6" s="8" t="s">
        <v>28</v>
      </c>
      <c r="G6" s="8" t="str">
        <f t="shared" si="0"/>
        <v>10.22.0.1</v>
      </c>
      <c r="H6" s="8" t="str">
        <f>LEFT(D6,FIND(".",D6,FIND(".",D6)+1)-1)&amp;".255.254"</f>
        <v>10.22.255.254</v>
      </c>
      <c r="I6" s="8">
        <v>10</v>
      </c>
      <c r="J6" s="10">
        <v>11</v>
      </c>
      <c r="K6" s="10">
        <v>2</v>
      </c>
    </row>
    <row r="7" spans="1:11" ht="15.75" customHeight="1" x14ac:dyDescent="0.2">
      <c r="A7" s="8" t="s">
        <v>30</v>
      </c>
      <c r="B7" s="9">
        <v>30</v>
      </c>
      <c r="C7" s="8">
        <v>0</v>
      </c>
      <c r="D7" s="8" t="str">
        <f t="shared" si="1"/>
        <v>10.32.0.0</v>
      </c>
      <c r="E7" s="8" t="str">
        <f t="shared" si="2"/>
        <v>10.32.0.1</v>
      </c>
      <c r="F7" s="8" t="s">
        <v>28</v>
      </c>
      <c r="G7" s="8" t="str">
        <f t="shared" si="0"/>
        <v>10.32.0.1</v>
      </c>
      <c r="H7" s="8" t="str">
        <f>LEFT(D7,FIND(".",D7,FIND(".",D7)+1)-1)&amp;".255.254"</f>
        <v>10.32.255.254</v>
      </c>
      <c r="I7" s="8">
        <v>10</v>
      </c>
      <c r="J7">
        <v>42</v>
      </c>
      <c r="K7">
        <v>7</v>
      </c>
    </row>
    <row r="8" spans="1:11" s="14" customFormat="1" ht="15.75" customHeight="1" x14ac:dyDescent="0.2">
      <c r="A8" s="8" t="s">
        <v>31</v>
      </c>
      <c r="B8" s="9">
        <v>40</v>
      </c>
      <c r="C8" s="8">
        <v>0</v>
      </c>
      <c r="D8" s="8" t="str">
        <f t="shared" si="1"/>
        <v>10.42.0.0</v>
      </c>
      <c r="E8" s="8" t="str">
        <f t="shared" si="2"/>
        <v>10.42.0.1</v>
      </c>
      <c r="F8" s="8" t="s">
        <v>28</v>
      </c>
      <c r="G8" s="8" t="str">
        <f t="shared" si="0"/>
        <v>10.42.0.1</v>
      </c>
      <c r="H8" s="8" t="str">
        <f>LEFT(D8,FIND(".",D8,FIND(".",D8)+1)-1)&amp;".255.254"</f>
        <v>10.42.255.254</v>
      </c>
      <c r="I8" s="8">
        <v>10</v>
      </c>
      <c r="J8">
        <v>41</v>
      </c>
      <c r="K8">
        <v>10</v>
      </c>
    </row>
    <row r="9" spans="1:11" s="14" customFormat="1" ht="15.75" customHeight="1" x14ac:dyDescent="0.2">
      <c r="A9" s="8" t="s">
        <v>63</v>
      </c>
      <c r="B9" s="9">
        <v>50</v>
      </c>
      <c r="C9" s="8">
        <v>0</v>
      </c>
      <c r="D9" s="8" t="str">
        <f t="shared" si="1"/>
        <v>10.52.0.0</v>
      </c>
      <c r="E9" s="8" t="str">
        <f t="shared" si="2"/>
        <v>10.52.0.1</v>
      </c>
      <c r="F9" s="8" t="s">
        <v>43</v>
      </c>
      <c r="G9" s="8" t="str">
        <f t="shared" si="0"/>
        <v>10.52.0.1</v>
      </c>
      <c r="H9" s="8" t="str">
        <f>LEFT(D9,FIND(".",D9,FIND(".",D9)+1)-1)&amp;".0.254"</f>
        <v>10.52.0.254</v>
      </c>
      <c r="I9" s="8">
        <v>10</v>
      </c>
      <c r="J9">
        <v>43</v>
      </c>
      <c r="K9">
        <v>10</v>
      </c>
    </row>
    <row r="10" spans="1:11" s="14" customFormat="1" ht="15.75" customHeight="1" x14ac:dyDescent="0.2">
      <c r="A10" s="3"/>
      <c r="B10" s="3"/>
      <c r="C10"/>
      <c r="D10"/>
      <c r="E10"/>
      <c r="F10"/>
      <c r="G10"/>
      <c r="H10"/>
      <c r="I10"/>
      <c r="J10"/>
      <c r="K10"/>
    </row>
    <row r="11" spans="1:11" s="14" customFormat="1" ht="15.75" customHeight="1" x14ac:dyDescent="0.2">
      <c r="A11" s="6" t="s">
        <v>16</v>
      </c>
      <c r="B11" s="6" t="s">
        <v>32</v>
      </c>
      <c r="C11" s="6" t="s">
        <v>33</v>
      </c>
      <c r="D11"/>
      <c r="E11"/>
      <c r="F11"/>
      <c r="G11"/>
      <c r="H11"/>
      <c r="I11"/>
      <c r="J11"/>
      <c r="K11"/>
    </row>
    <row r="12" spans="1:11" s="14" customFormat="1" ht="15.75" customHeight="1" x14ac:dyDescent="0.2">
      <c r="A12" s="8" t="s">
        <v>27</v>
      </c>
      <c r="B12" s="8">
        <v>10</v>
      </c>
      <c r="C12" s="8" t="str">
        <f>$A$2&amp;"."&amp;$A$2&amp;"."&amp;$A$2&amp;"."&amp;(B12)</f>
        <v>2.2.2.10</v>
      </c>
      <c r="D12"/>
      <c r="E12"/>
      <c r="F12"/>
      <c r="G12"/>
      <c r="H12"/>
      <c r="I12"/>
      <c r="J12"/>
      <c r="K12"/>
    </row>
    <row r="13" spans="1:11" s="14" customFormat="1" ht="15.75" customHeight="1" x14ac:dyDescent="0.2">
      <c r="A13" s="8" t="s">
        <v>29</v>
      </c>
      <c r="B13" s="8">
        <v>20</v>
      </c>
      <c r="C13" s="8" t="str">
        <f t="shared" ref="C13:C16" si="3">$A$2&amp;"."&amp;$A$2&amp;"."&amp;$A$2&amp;"."&amp;(B13)</f>
        <v>2.2.2.20</v>
      </c>
      <c r="D13"/>
      <c r="E13"/>
      <c r="F13"/>
      <c r="G13"/>
      <c r="H13"/>
      <c r="I13"/>
      <c r="J13"/>
      <c r="K13"/>
    </row>
    <row r="14" spans="1:11" s="14" customFormat="1" ht="15.75" customHeight="1" x14ac:dyDescent="0.2">
      <c r="A14" s="8" t="s">
        <v>30</v>
      </c>
      <c r="B14" s="8">
        <v>30</v>
      </c>
      <c r="C14" s="8" t="str">
        <f t="shared" si="3"/>
        <v>2.2.2.30</v>
      </c>
      <c r="D14"/>
      <c r="E14"/>
      <c r="F14"/>
      <c r="G14"/>
      <c r="H14"/>
      <c r="I14"/>
      <c r="J14"/>
      <c r="K14"/>
    </row>
    <row r="15" spans="1:11" s="14" customFormat="1" ht="15.75" customHeight="1" x14ac:dyDescent="0.2">
      <c r="A15" s="8" t="s">
        <v>31</v>
      </c>
      <c r="B15" s="8">
        <v>40</v>
      </c>
      <c r="C15" s="8" t="str">
        <f t="shared" si="3"/>
        <v>2.2.2.40</v>
      </c>
      <c r="D15"/>
      <c r="E15"/>
      <c r="F15"/>
      <c r="G15"/>
      <c r="H15"/>
      <c r="I15"/>
      <c r="J15"/>
      <c r="K15"/>
    </row>
    <row r="16" spans="1:11" s="14" customFormat="1" ht="15.75" customHeight="1" x14ac:dyDescent="0.2">
      <c r="A16" s="8" t="s">
        <v>63</v>
      </c>
      <c r="B16" s="8">
        <v>50</v>
      </c>
      <c r="C16" s="8" t="str">
        <f t="shared" si="3"/>
        <v>2.2.2.50</v>
      </c>
      <c r="D16"/>
      <c r="E16"/>
      <c r="F16"/>
      <c r="G16"/>
      <c r="H16"/>
      <c r="I16"/>
      <c r="J16"/>
      <c r="K16"/>
    </row>
    <row r="17" spans="1:12" ht="15.75" customHeight="1" x14ac:dyDescent="0.2"/>
    <row r="18" spans="1:12" ht="15.75" customHeight="1" x14ac:dyDescent="0.2">
      <c r="A18" s="14" t="s">
        <v>34</v>
      </c>
      <c r="B18" s="14" t="s">
        <v>16</v>
      </c>
      <c r="C18" s="14" t="s">
        <v>35</v>
      </c>
      <c r="D18" s="14" t="s">
        <v>21</v>
      </c>
      <c r="E18" s="14" t="s">
        <v>36</v>
      </c>
      <c r="F18" s="14" t="s">
        <v>37</v>
      </c>
      <c r="G18" s="14" t="s">
        <v>38</v>
      </c>
      <c r="H18" s="14" t="s">
        <v>39</v>
      </c>
      <c r="I18" s="14" t="s">
        <v>40</v>
      </c>
      <c r="J18" s="14" t="s">
        <v>41</v>
      </c>
    </row>
    <row r="19" spans="1:12" ht="15.75" customHeight="1" x14ac:dyDescent="0.2">
      <c r="A19" s="14" t="s">
        <v>42</v>
      </c>
      <c r="B19" s="14" t="s">
        <v>27</v>
      </c>
      <c r="C19" s="14" t="str">
        <f>172&amp;"."&amp;16&amp;"."&amp;0&amp;"."&amp;(H19+$A$2)</f>
        <v>172.16.0.12</v>
      </c>
      <c r="D19" s="14" t="s">
        <v>43</v>
      </c>
      <c r="E19" s="14" t="str">
        <f t="shared" ref="E19:E23" si="4">$C$2</f>
        <v>2.2.2.0</v>
      </c>
      <c r="G19" s="14" t="s">
        <v>44</v>
      </c>
      <c r="H19" s="14">
        <v>10</v>
      </c>
      <c r="I19" s="14">
        <f t="array" ref="I19">'Site 1 (HUB)'!I19</f>
        <v>0</v>
      </c>
    </row>
    <row r="20" spans="1:12" ht="15.75" customHeight="1" x14ac:dyDescent="0.2">
      <c r="A20" s="14" t="s">
        <v>45</v>
      </c>
      <c r="B20" s="14" t="s">
        <v>29</v>
      </c>
      <c r="C20" s="14" t="str">
        <f>172&amp;"."&amp;16&amp;"."&amp;0&amp;"."&amp;(H20+$A$2)</f>
        <v>172.16.0.22</v>
      </c>
      <c r="D20" s="14" t="s">
        <v>43</v>
      </c>
      <c r="E20" s="14" t="str">
        <f t="shared" si="4"/>
        <v>2.2.2.0</v>
      </c>
      <c r="G20" s="14" t="s">
        <v>44</v>
      </c>
      <c r="H20" s="14">
        <v>20</v>
      </c>
      <c r="I20" s="14" cm="1">
        <f t="array" ref="I20">'Site 1 (HUB)'!I20</f>
        <v>0</v>
      </c>
    </row>
    <row r="21" spans="1:12" ht="15.75" customHeight="1" x14ac:dyDescent="0.2">
      <c r="A21" s="14" t="s">
        <v>46</v>
      </c>
      <c r="B21" s="14" t="s">
        <v>30</v>
      </c>
      <c r="C21" s="14" t="str">
        <f>172&amp;"."&amp;16&amp;"."&amp;0&amp;"."&amp;(H21+$A$2)</f>
        <v>172.16.0.32</v>
      </c>
      <c r="D21" s="14" t="s">
        <v>43</v>
      </c>
      <c r="E21" s="14" t="str">
        <f t="shared" si="4"/>
        <v>2.2.2.0</v>
      </c>
      <c r="G21" s="14" t="s">
        <v>44</v>
      </c>
      <c r="H21" s="14">
        <v>30</v>
      </c>
      <c r="I21" s="14" t="b">
        <f>'Site 1 (HUB)'!I21</f>
        <v>1</v>
      </c>
    </row>
    <row r="22" spans="1:12" ht="15.75" customHeight="1" x14ac:dyDescent="0.2">
      <c r="A22" s="14" t="s">
        <v>47</v>
      </c>
      <c r="B22" s="14" t="s">
        <v>31</v>
      </c>
      <c r="C22" s="14" t="str">
        <f t="shared" ref="C22:C23" si="5">172&amp;"."&amp;16&amp;"."&amp;0&amp;"."&amp;(H22+$A$2)</f>
        <v>172.16.0.42</v>
      </c>
      <c r="D22" s="14" t="s">
        <v>43</v>
      </c>
      <c r="E22" s="14" t="str">
        <f t="shared" si="4"/>
        <v>2.2.2.0</v>
      </c>
      <c r="G22" s="14" t="s">
        <v>44</v>
      </c>
      <c r="H22" s="14">
        <v>40</v>
      </c>
      <c r="I22" s="14" t="b">
        <f>'Site 1 (HUB)'!I22</f>
        <v>1</v>
      </c>
    </row>
    <row r="23" spans="1:12" ht="15.75" customHeight="1" x14ac:dyDescent="0.2">
      <c r="A23" s="18" t="s">
        <v>62</v>
      </c>
      <c r="B23" s="18" t="s">
        <v>63</v>
      </c>
      <c r="C23" s="18" t="str">
        <f t="shared" si="5"/>
        <v>172.16.0.52</v>
      </c>
      <c r="D23" s="18" t="s">
        <v>43</v>
      </c>
      <c r="E23" s="18" t="str">
        <f t="shared" si="4"/>
        <v>2.2.2.0</v>
      </c>
      <c r="F23" s="18"/>
      <c r="G23" s="18" t="s">
        <v>44</v>
      </c>
      <c r="H23" s="18">
        <v>50</v>
      </c>
      <c r="I23" s="14" t="b">
        <f>'Site 1 (HUB)'!I23</f>
        <v>1</v>
      </c>
      <c r="J23" s="19"/>
    </row>
    <row r="24" spans="1:12" ht="15.75" customHeight="1" x14ac:dyDescent="0.2"/>
    <row r="25" spans="1:12" ht="16.5" customHeight="1" x14ac:dyDescent="0.2">
      <c r="A25" s="14" t="s">
        <v>0</v>
      </c>
      <c r="B25" s="14" t="s">
        <v>3</v>
      </c>
      <c r="C25" s="14" t="s">
        <v>4</v>
      </c>
      <c r="D25" s="14" t="s">
        <v>5</v>
      </c>
      <c r="E25" s="14" t="s">
        <v>6</v>
      </c>
      <c r="F25" s="14" t="s">
        <v>48</v>
      </c>
      <c r="G25" s="1" t="s">
        <v>49</v>
      </c>
      <c r="H25" t="s">
        <v>60</v>
      </c>
    </row>
    <row r="26" spans="1:12" ht="15.75" customHeight="1" x14ac:dyDescent="0.2">
      <c r="A26" s="14">
        <f>A2</f>
        <v>2</v>
      </c>
      <c r="B26" s="14" t="s">
        <v>11</v>
      </c>
      <c r="C26" s="14" t="s">
        <v>12</v>
      </c>
      <c r="D26" s="14" t="s">
        <v>13</v>
      </c>
      <c r="E26" s="14" t="s">
        <v>12</v>
      </c>
      <c r="F26" s="14">
        <v>2</v>
      </c>
      <c r="G26" s="2" t="s">
        <v>50</v>
      </c>
      <c r="H26" s="20" t="s">
        <v>64</v>
      </c>
    </row>
    <row r="27" spans="1:12" ht="15.75" customHeight="1" x14ac:dyDescent="0.2"/>
    <row r="28" spans="1:12" ht="15.75" customHeight="1" x14ac:dyDescent="0.2">
      <c r="A28" s="15" t="s">
        <v>51</v>
      </c>
      <c r="B28" s="15" t="s">
        <v>52</v>
      </c>
      <c r="C28" s="15" t="s">
        <v>53</v>
      </c>
      <c r="D28" s="15" t="s">
        <v>20</v>
      </c>
      <c r="E28" s="15" t="s">
        <v>21</v>
      </c>
      <c r="F28" s="15" t="s">
        <v>54</v>
      </c>
      <c r="G28" s="15" t="s">
        <v>55</v>
      </c>
      <c r="H28" s="15" t="s">
        <v>56</v>
      </c>
      <c r="I28" s="15" t="s">
        <v>57</v>
      </c>
      <c r="J28" s="15" t="s">
        <v>1</v>
      </c>
      <c r="K28" s="15" t="s">
        <v>58</v>
      </c>
      <c r="L28" t="s">
        <v>61</v>
      </c>
    </row>
    <row r="29" spans="1:12" ht="15.75" customHeight="1" x14ac:dyDescent="0.2">
      <c r="A29" s="8">
        <f>(ROW())-(ROW()-1)</f>
        <v>1</v>
      </c>
      <c r="B29" s="8">
        <v>10</v>
      </c>
      <c r="C29" s="8" t="str">
        <f>LEFT($G$5,LEN($G$5)-1)&amp;(RIGHT($G$5,1)+A29)</f>
        <v>10.12.0.2</v>
      </c>
      <c r="D29" s="8" t="str">
        <f>$E$5</f>
        <v>10.12.0.1</v>
      </c>
      <c r="E29" s="8" t="str">
        <f>$F$5</f>
        <v>255.255.0.0</v>
      </c>
      <c r="F29" s="8">
        <v>24</v>
      </c>
      <c r="G29" s="8">
        <v>1</v>
      </c>
      <c r="H29" s="11">
        <v>0</v>
      </c>
      <c r="I29" s="8" t="s">
        <v>59</v>
      </c>
      <c r="J29" s="2" t="s">
        <v>10</v>
      </c>
      <c r="K29" s="2">
        <f>IF($A29=1,F29-G29-H29*$F$26-2,F29-G29-(1+H29)*$F$26-1)</f>
        <v>21</v>
      </c>
      <c r="L29" t="str">
        <f>LEFT($G$9,LEN($G$9)-1)&amp;(RIGHT($G$9,1)+A29)</f>
        <v>10.52.0.2</v>
      </c>
    </row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dataValidations count="2">
    <dataValidation type="custom" allowBlank="1" showInputMessage="1" showErrorMessage="1" sqref="I29" xr:uid="{00000000-0002-0000-0100-000000000000}">
      <formula1>IF(I29="",TRUE,SUM(--_xlfn.TEXTAFTER(_xlfn.TEXTSPLIT(I29,"-"),"."))&lt;=K29)</formula1>
    </dataValidation>
    <dataValidation type="list" sqref="G26" xr:uid="{00000000-0002-0000-0100-000001000000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9"/>
  <sheetViews>
    <sheetView workbookViewId="0">
      <selection activeCell="E37" sqref="E37"/>
    </sheetView>
  </sheetViews>
  <sheetFormatPr defaultRowHeight="12.75" x14ac:dyDescent="0.2"/>
  <cols>
    <col min="1" max="1" width="10.7109375" customWidth="1"/>
    <col min="2" max="2" width="13" customWidth="1"/>
    <col min="3" max="3" width="75.85546875" customWidth="1"/>
    <col min="4" max="4" width="12.28515625" customWidth="1"/>
    <col min="5" max="5" width="75.85546875" customWidth="1"/>
    <col min="6" max="6" width="16.85546875" customWidth="1"/>
    <col min="7" max="7" width="58.7109375" customWidth="1"/>
    <col min="8" max="8" width="22" customWidth="1"/>
    <col min="9" max="9" width="25.5703125" customWidth="1"/>
    <col min="10" max="10" width="11.28515625" customWidth="1"/>
    <col min="11" max="11" width="16.85546875" customWidth="1"/>
    <col min="12" max="12" width="18" customWidth="1"/>
  </cols>
  <sheetData>
    <row r="1" spans="1:11" ht="14.25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9</v>
      </c>
      <c r="J1" s="14"/>
      <c r="K1" s="14"/>
    </row>
    <row r="2" spans="1:11" ht="14.25" x14ac:dyDescent="0.2">
      <c r="A2" s="14">
        <v>3</v>
      </c>
      <c r="B2" s="14" t="s">
        <v>10</v>
      </c>
      <c r="C2" s="14" t="str">
        <f>A2&amp;"."&amp;A2&amp;"."&amp;A2&amp;".0"</f>
        <v>3.3.3.0</v>
      </c>
      <c r="D2" s="14" t="s">
        <v>11</v>
      </c>
      <c r="E2" s="14" t="s">
        <v>12</v>
      </c>
      <c r="F2" s="14" t="s">
        <v>13</v>
      </c>
      <c r="G2" s="14" t="s">
        <v>12</v>
      </c>
      <c r="H2" s="14" t="str">
        <f>'Site 1 (HUB)'!H2</f>
        <v>TACACS-KEY</v>
      </c>
      <c r="I2" s="14" t="s">
        <v>15</v>
      </c>
      <c r="J2" s="14"/>
      <c r="K2" s="14"/>
    </row>
    <row r="3" spans="1:11" ht="14.25" x14ac:dyDescent="0.2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1" ht="15" x14ac:dyDescent="0.2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  <c r="J4" s="7" t="s">
        <v>25</v>
      </c>
      <c r="K4" s="7" t="s">
        <v>26</v>
      </c>
    </row>
    <row r="5" spans="1:11" ht="14.25" x14ac:dyDescent="0.2">
      <c r="A5" s="8" t="s">
        <v>27</v>
      </c>
      <c r="B5" s="9">
        <v>10</v>
      </c>
      <c r="C5" s="8">
        <v>0</v>
      </c>
      <c r="D5" s="8" t="str">
        <f>10&amp;"."&amp;(B5+$A$2)&amp;"."&amp;0&amp;"."&amp;0</f>
        <v>10.13.0.0</v>
      </c>
      <c r="E5" s="8" t="str">
        <f>LEFT(D5,LEN(D5)-1)&amp;"1"</f>
        <v>10.13.0.1</v>
      </c>
      <c r="F5" s="8" t="s">
        <v>28</v>
      </c>
      <c r="G5" s="8" t="str">
        <f t="shared" ref="G5:G9" si="0">LEFT(D5,LEN(D5)-1)&amp;"1"</f>
        <v>10.13.0.1</v>
      </c>
      <c r="H5" s="8" t="str">
        <f>LEFT(D5,FIND(".",D5,FIND(".",D5)+1)-1)&amp;".255.254"</f>
        <v>10.13.255.254</v>
      </c>
      <c r="I5" s="8">
        <v>10</v>
      </c>
      <c r="J5" s="10">
        <v>21</v>
      </c>
      <c r="K5" s="10">
        <v>5</v>
      </c>
    </row>
    <row r="6" spans="1:11" ht="14.25" x14ac:dyDescent="0.2">
      <c r="A6" s="8" t="s">
        <v>29</v>
      </c>
      <c r="B6" s="9">
        <v>20</v>
      </c>
      <c r="C6" s="8">
        <v>0</v>
      </c>
      <c r="D6" s="8" t="str">
        <f t="shared" ref="D6:D9" si="1">10&amp;"."&amp;(B6+$A$2)&amp;"."&amp;0&amp;"."&amp;0</f>
        <v>10.23.0.0</v>
      </c>
      <c r="E6" s="8" t="str">
        <f t="shared" ref="E6:E9" si="2">LEFT(D6,LEN(D6)-1)&amp;"1"</f>
        <v>10.23.0.1</v>
      </c>
      <c r="F6" s="8" t="s">
        <v>28</v>
      </c>
      <c r="G6" s="8" t="str">
        <f t="shared" si="0"/>
        <v>10.23.0.1</v>
      </c>
      <c r="H6" s="8" t="str">
        <f>LEFT(D6,FIND(".",D6,FIND(".",D6)+1)-1)&amp;".255.254"</f>
        <v>10.23.255.254</v>
      </c>
      <c r="I6" s="8">
        <v>10</v>
      </c>
      <c r="J6" s="10">
        <v>11</v>
      </c>
      <c r="K6" s="10">
        <v>2</v>
      </c>
    </row>
    <row r="7" spans="1:11" ht="14.25" x14ac:dyDescent="0.2">
      <c r="A7" s="8" t="s">
        <v>30</v>
      </c>
      <c r="B7" s="9">
        <v>30</v>
      </c>
      <c r="C7" s="8">
        <v>0</v>
      </c>
      <c r="D7" s="8" t="str">
        <f t="shared" si="1"/>
        <v>10.33.0.0</v>
      </c>
      <c r="E7" s="8" t="str">
        <f t="shared" si="2"/>
        <v>10.33.0.1</v>
      </c>
      <c r="F7" s="8" t="s">
        <v>28</v>
      </c>
      <c r="G7" s="8" t="str">
        <f t="shared" si="0"/>
        <v>10.33.0.1</v>
      </c>
      <c r="H7" s="8" t="str">
        <f>LEFT(D7,FIND(".",D7,FIND(".",D7)+1)-1)&amp;".255.254"</f>
        <v>10.33.255.254</v>
      </c>
      <c r="I7" s="8">
        <v>10</v>
      </c>
      <c r="J7">
        <v>42</v>
      </c>
      <c r="K7">
        <v>7</v>
      </c>
    </row>
    <row r="8" spans="1:11" ht="14.25" x14ac:dyDescent="0.2">
      <c r="A8" s="8" t="s">
        <v>31</v>
      </c>
      <c r="B8" s="9">
        <v>40</v>
      </c>
      <c r="C8" s="8">
        <v>0</v>
      </c>
      <c r="D8" s="8" t="str">
        <f t="shared" si="1"/>
        <v>10.43.0.0</v>
      </c>
      <c r="E8" s="8" t="str">
        <f t="shared" si="2"/>
        <v>10.43.0.1</v>
      </c>
      <c r="F8" s="8" t="s">
        <v>28</v>
      </c>
      <c r="G8" s="8" t="str">
        <f t="shared" si="0"/>
        <v>10.43.0.1</v>
      </c>
      <c r="H8" s="8" t="str">
        <f>LEFT(D8,FIND(".",D8,FIND(".",D8)+1)-1)&amp;".255.254"</f>
        <v>10.43.255.254</v>
      </c>
      <c r="I8" s="8">
        <v>10</v>
      </c>
      <c r="J8">
        <v>41</v>
      </c>
      <c r="K8">
        <v>10</v>
      </c>
    </row>
    <row r="9" spans="1:11" ht="14.25" x14ac:dyDescent="0.2">
      <c r="A9" s="8" t="s">
        <v>63</v>
      </c>
      <c r="B9" s="9">
        <v>50</v>
      </c>
      <c r="C9" s="8">
        <v>0</v>
      </c>
      <c r="D9" s="8" t="str">
        <f t="shared" si="1"/>
        <v>10.53.0.0</v>
      </c>
      <c r="E9" s="8" t="str">
        <f t="shared" si="2"/>
        <v>10.53.0.1</v>
      </c>
      <c r="F9" s="8" t="s">
        <v>43</v>
      </c>
      <c r="G9" s="8" t="str">
        <f t="shared" si="0"/>
        <v>10.53.0.1</v>
      </c>
      <c r="H9" s="8" t="str">
        <f>LEFT(D9,FIND(".",D9,FIND(".",D9)+1)-1)&amp;".0.254"</f>
        <v>10.53.0.254</v>
      </c>
      <c r="I9" s="8">
        <v>10</v>
      </c>
      <c r="J9">
        <v>43</v>
      </c>
      <c r="K9">
        <v>10</v>
      </c>
    </row>
    <row r="10" spans="1:11" x14ac:dyDescent="0.2">
      <c r="A10" s="3"/>
      <c r="B10" s="3"/>
    </row>
    <row r="11" spans="1:11" ht="15" x14ac:dyDescent="0.2">
      <c r="A11" s="6" t="s">
        <v>16</v>
      </c>
      <c r="B11" s="6" t="s">
        <v>32</v>
      </c>
      <c r="C11" s="6" t="s">
        <v>33</v>
      </c>
    </row>
    <row r="12" spans="1:11" ht="14.25" x14ac:dyDescent="0.2">
      <c r="A12" s="8" t="s">
        <v>27</v>
      </c>
      <c r="B12" s="8">
        <v>10</v>
      </c>
      <c r="C12" s="8" t="str">
        <f>$A$2&amp;"."&amp;$A$2&amp;"."&amp;$A$2&amp;"."&amp;(B12)</f>
        <v>3.3.3.10</v>
      </c>
    </row>
    <row r="13" spans="1:11" ht="14.25" x14ac:dyDescent="0.2">
      <c r="A13" s="8" t="s">
        <v>29</v>
      </c>
      <c r="B13" s="8">
        <v>20</v>
      </c>
      <c r="C13" s="8" t="str">
        <f t="shared" ref="C13:C16" si="3">$A$2&amp;"."&amp;$A$2&amp;"."&amp;$A$2&amp;"."&amp;(B13)</f>
        <v>3.3.3.20</v>
      </c>
    </row>
    <row r="14" spans="1:11" ht="14.25" x14ac:dyDescent="0.2">
      <c r="A14" s="8" t="s">
        <v>30</v>
      </c>
      <c r="B14" s="8">
        <v>30</v>
      </c>
      <c r="C14" s="8" t="str">
        <f t="shared" si="3"/>
        <v>3.3.3.30</v>
      </c>
    </row>
    <row r="15" spans="1:11" ht="14.25" x14ac:dyDescent="0.2">
      <c r="A15" s="8" t="s">
        <v>31</v>
      </c>
      <c r="B15" s="8">
        <v>40</v>
      </c>
      <c r="C15" s="8" t="str">
        <f t="shared" si="3"/>
        <v>3.3.3.40</v>
      </c>
    </row>
    <row r="16" spans="1:11" ht="14.25" x14ac:dyDescent="0.2">
      <c r="A16" s="8" t="s">
        <v>63</v>
      </c>
      <c r="B16" s="8">
        <v>50</v>
      </c>
      <c r="C16" s="8" t="str">
        <f t="shared" si="3"/>
        <v>3.3.3.50</v>
      </c>
    </row>
    <row r="17" spans="1:12" ht="14.25" x14ac:dyDescent="0.2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2" ht="14.25" x14ac:dyDescent="0.2">
      <c r="A18" s="14" t="s">
        <v>34</v>
      </c>
      <c r="B18" s="14" t="s">
        <v>16</v>
      </c>
      <c r="C18" s="14" t="s">
        <v>35</v>
      </c>
      <c r="D18" s="14" t="s">
        <v>21</v>
      </c>
      <c r="E18" s="14" t="s">
        <v>36</v>
      </c>
      <c r="F18" s="14" t="s">
        <v>37</v>
      </c>
      <c r="G18" s="14" t="s">
        <v>38</v>
      </c>
      <c r="H18" s="14" t="s">
        <v>39</v>
      </c>
      <c r="I18" s="14" t="s">
        <v>40</v>
      </c>
      <c r="J18" s="14" t="s">
        <v>41</v>
      </c>
      <c r="K18" s="14"/>
    </row>
    <row r="19" spans="1:12" ht="14.25" x14ac:dyDescent="0.2">
      <c r="A19" s="14" t="s">
        <v>42</v>
      </c>
      <c r="B19" s="14" t="s">
        <v>27</v>
      </c>
      <c r="C19" s="14" t="str">
        <f>172&amp;"."&amp;16&amp;"."&amp;0&amp;"."&amp;(H19+$A$2)</f>
        <v>172.16.0.13</v>
      </c>
      <c r="D19" s="14" t="s">
        <v>43</v>
      </c>
      <c r="E19" s="14" t="str">
        <f t="shared" ref="E19:E23" si="4">$C$2</f>
        <v>3.3.3.0</v>
      </c>
      <c r="F19" s="14"/>
      <c r="G19" s="14" t="s">
        <v>44</v>
      </c>
      <c r="H19" s="14">
        <v>10</v>
      </c>
      <c r="I19" s="14">
        <f t="array" ref="I19">'Site 1 (HUB)'!I19</f>
        <v>0</v>
      </c>
      <c r="J19" s="14"/>
      <c r="K19" s="14"/>
    </row>
    <row r="20" spans="1:12" ht="14.25" x14ac:dyDescent="0.2">
      <c r="A20" s="14" t="s">
        <v>45</v>
      </c>
      <c r="B20" s="14" t="s">
        <v>29</v>
      </c>
      <c r="C20" s="14" t="str">
        <f>172&amp;"."&amp;16&amp;"."&amp;0&amp;"."&amp;(H20+$A$2)</f>
        <v>172.16.0.23</v>
      </c>
      <c r="D20" s="14" t="s">
        <v>43</v>
      </c>
      <c r="E20" s="14" t="str">
        <f t="shared" si="4"/>
        <v>3.3.3.0</v>
      </c>
      <c r="F20" s="14"/>
      <c r="G20" s="14" t="s">
        <v>44</v>
      </c>
      <c r="H20" s="14">
        <v>20</v>
      </c>
      <c r="I20" s="14" cm="1">
        <f t="array" ref="I20">'Site 1 (HUB)'!I20</f>
        <v>0</v>
      </c>
      <c r="J20" s="14"/>
      <c r="K20" s="14"/>
    </row>
    <row r="21" spans="1:12" ht="14.25" x14ac:dyDescent="0.2">
      <c r="A21" s="14" t="s">
        <v>46</v>
      </c>
      <c r="B21" s="14" t="s">
        <v>30</v>
      </c>
      <c r="C21" s="14" t="str">
        <f>172&amp;"."&amp;16&amp;"."&amp;0&amp;"."&amp;(H21+$A$2)</f>
        <v>172.16.0.33</v>
      </c>
      <c r="D21" s="14" t="s">
        <v>43</v>
      </c>
      <c r="E21" s="14" t="str">
        <f t="shared" si="4"/>
        <v>3.3.3.0</v>
      </c>
      <c r="F21" s="14"/>
      <c r="G21" s="14" t="s">
        <v>44</v>
      </c>
      <c r="H21" s="14">
        <v>30</v>
      </c>
      <c r="I21" s="14" t="b">
        <f>'Site 1 (HUB)'!I21</f>
        <v>1</v>
      </c>
      <c r="J21" s="14"/>
      <c r="K21" s="14"/>
    </row>
    <row r="22" spans="1:12" ht="14.25" x14ac:dyDescent="0.2">
      <c r="A22" s="14" t="s">
        <v>47</v>
      </c>
      <c r="B22" s="14" t="s">
        <v>31</v>
      </c>
      <c r="C22" s="14" t="str">
        <f t="shared" ref="C22:C23" si="5">172&amp;"."&amp;16&amp;"."&amp;0&amp;"."&amp;(H22+$A$2)</f>
        <v>172.16.0.43</v>
      </c>
      <c r="D22" s="14" t="s">
        <v>43</v>
      </c>
      <c r="E22" s="14" t="str">
        <f t="shared" si="4"/>
        <v>3.3.3.0</v>
      </c>
      <c r="F22" s="14"/>
      <c r="G22" s="14" t="s">
        <v>44</v>
      </c>
      <c r="H22" s="14">
        <v>40</v>
      </c>
      <c r="I22" s="14" t="b">
        <f>'Site 1 (HUB)'!I22</f>
        <v>1</v>
      </c>
      <c r="J22" s="14"/>
      <c r="K22" s="14"/>
    </row>
    <row r="23" spans="1:12" ht="14.25" x14ac:dyDescent="0.2">
      <c r="A23" s="18" t="s">
        <v>62</v>
      </c>
      <c r="B23" s="18" t="s">
        <v>63</v>
      </c>
      <c r="C23" s="18" t="str">
        <f t="shared" si="5"/>
        <v>172.16.0.53</v>
      </c>
      <c r="D23" s="18" t="s">
        <v>43</v>
      </c>
      <c r="E23" s="18" t="str">
        <f t="shared" si="4"/>
        <v>3.3.3.0</v>
      </c>
      <c r="F23" s="18"/>
      <c r="G23" s="18" t="s">
        <v>44</v>
      </c>
      <c r="H23" s="18">
        <v>50</v>
      </c>
      <c r="I23" s="14" t="b">
        <f>'Site 1 (HUB)'!I23</f>
        <v>1</v>
      </c>
      <c r="J23" s="19"/>
      <c r="K23" s="14"/>
    </row>
    <row r="24" spans="1:12" ht="14.25" x14ac:dyDescent="0.2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</row>
    <row r="25" spans="1:12" ht="14.25" x14ac:dyDescent="0.2">
      <c r="A25" s="14" t="s">
        <v>0</v>
      </c>
      <c r="B25" s="14" t="s">
        <v>3</v>
      </c>
      <c r="C25" s="14" t="s">
        <v>4</v>
      </c>
      <c r="D25" s="14" t="s">
        <v>5</v>
      </c>
      <c r="E25" s="14" t="s">
        <v>6</v>
      </c>
      <c r="F25" s="14" t="s">
        <v>48</v>
      </c>
      <c r="G25" s="1" t="s">
        <v>49</v>
      </c>
      <c r="H25" t="s">
        <v>60</v>
      </c>
      <c r="I25" s="14"/>
      <c r="J25" s="14"/>
      <c r="K25" s="14"/>
    </row>
    <row r="26" spans="1:12" ht="14.25" x14ac:dyDescent="0.2">
      <c r="A26" s="14">
        <f>A2</f>
        <v>3</v>
      </c>
      <c r="B26" s="14" t="s">
        <v>11</v>
      </c>
      <c r="C26" s="14" t="s">
        <v>12</v>
      </c>
      <c r="D26" s="14" t="s">
        <v>13</v>
      </c>
      <c r="E26" s="14" t="s">
        <v>12</v>
      </c>
      <c r="F26" s="14">
        <v>2</v>
      </c>
      <c r="G26" s="2" t="s">
        <v>50</v>
      </c>
      <c r="H26" s="20" t="s">
        <v>64</v>
      </c>
      <c r="I26" s="14"/>
      <c r="J26" s="14"/>
      <c r="K26" s="14"/>
    </row>
    <row r="27" spans="1:12" ht="14.25" x14ac:dyDescent="0.2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</row>
    <row r="28" spans="1:12" ht="15" x14ac:dyDescent="0.2">
      <c r="A28" s="15" t="s">
        <v>51</v>
      </c>
      <c r="B28" s="15" t="s">
        <v>52</v>
      </c>
      <c r="C28" s="15" t="s">
        <v>53</v>
      </c>
      <c r="D28" s="15" t="s">
        <v>20</v>
      </c>
      <c r="E28" s="15" t="s">
        <v>21</v>
      </c>
      <c r="F28" s="15" t="s">
        <v>54</v>
      </c>
      <c r="G28" s="15" t="s">
        <v>55</v>
      </c>
      <c r="H28" s="15" t="s">
        <v>56</v>
      </c>
      <c r="I28" s="15" t="s">
        <v>57</v>
      </c>
      <c r="J28" s="15" t="s">
        <v>1</v>
      </c>
      <c r="K28" s="15" t="s">
        <v>58</v>
      </c>
      <c r="L28" t="s">
        <v>61</v>
      </c>
    </row>
    <row r="29" spans="1:12" ht="14.25" x14ac:dyDescent="0.2">
      <c r="A29" s="8">
        <f>(ROW())-(ROW()-1)</f>
        <v>1</v>
      </c>
      <c r="B29" s="8">
        <v>10</v>
      </c>
      <c r="C29" s="8" t="str">
        <f>LEFT($G$5,LEN($G$5)-1)&amp;(RIGHT($G$5,1)+A29)</f>
        <v>10.13.0.2</v>
      </c>
      <c r="D29" s="8" t="str">
        <f>$E$5</f>
        <v>10.13.0.1</v>
      </c>
      <c r="E29" s="8" t="str">
        <f>$F$5</f>
        <v>255.255.0.0</v>
      </c>
      <c r="F29" s="8">
        <v>24</v>
      </c>
      <c r="G29" s="8">
        <v>1</v>
      </c>
      <c r="H29" s="11">
        <v>0</v>
      </c>
      <c r="I29" s="8" t="s">
        <v>59</v>
      </c>
      <c r="J29" s="2" t="s">
        <v>10</v>
      </c>
      <c r="K29" s="2">
        <f>IF($A29=1,F29-G29-H29*$F$26-2,F29-G29-(1+H29)*$F$26-1)</f>
        <v>21</v>
      </c>
      <c r="L29" t="str">
        <f>LEFT($G$9,LEN($G$9)-1)&amp;(RIGHT($G$9,1)+A29)</f>
        <v>10.53.0.2</v>
      </c>
    </row>
  </sheetData>
  <dataValidations count="2">
    <dataValidation type="custom" allowBlank="1" showInputMessage="1" showErrorMessage="1" sqref="I29" xr:uid="{7287270F-FA36-42B0-936E-CB6AE119A013}">
      <formula1>IF(I29="",TRUE,SUM(--_xlfn.TEXTAFTER(_xlfn.TEXTSPLIT(I29,"-"),"."))&lt;=K29)</formula1>
    </dataValidation>
    <dataValidation type="list" sqref="G26" xr:uid="{96B8245A-DA04-4B17-A070-977D41BECEDD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Site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2026-09-13T14:51:15Z</dcterms:modified>
</cp:coreProperties>
</file>