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nik\Music\INI\NO_MPLS_SAD\"/>
    </mc:Choice>
  </mc:AlternateContent>
  <xr:revisionPtr revIDLastSave="0" documentId="13_ncr:1_{2191D201-465A-438B-BCC1-E858E61FAF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te 1 (HUB)" sheetId="1" r:id="rId1"/>
    <sheet name="Site 2" sheetId="4" r:id="rId2"/>
    <sheet name="Site 3" sheetId="2" r:id="rId3"/>
    <sheet name="FLOW_POLI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4" l="1"/>
  <c r="I23" i="2"/>
  <c r="A29" i="1"/>
  <c r="E9" i="1"/>
  <c r="D9" i="1"/>
  <c r="C16" i="1"/>
  <c r="E23" i="1"/>
  <c r="C23" i="1"/>
  <c r="E30" i="2"/>
  <c r="B30" i="2"/>
  <c r="A30" i="2"/>
  <c r="E29" i="2"/>
  <c r="B29" i="2"/>
  <c r="A29" i="2"/>
  <c r="E26" i="2"/>
  <c r="D26" i="2"/>
  <c r="C26" i="2"/>
  <c r="B26" i="2"/>
  <c r="A26" i="2"/>
  <c r="C23" i="2"/>
  <c r="I22" i="2"/>
  <c r="C22" i="2"/>
  <c r="I21" i="2"/>
  <c r="C21" i="2"/>
  <c r="I20" i="2"/>
  <c r="C20" i="2"/>
  <c r="I19" i="2"/>
  <c r="C19" i="2"/>
  <c r="C16" i="2"/>
  <c r="C15" i="2"/>
  <c r="C14" i="2"/>
  <c r="C13" i="2"/>
  <c r="C12" i="2"/>
  <c r="E9" i="2"/>
  <c r="D9" i="2"/>
  <c r="E8" i="2"/>
  <c r="D8" i="2"/>
  <c r="E7" i="2"/>
  <c r="D7" i="2"/>
  <c r="E6" i="2"/>
  <c r="D6" i="2"/>
  <c r="E5" i="2"/>
  <c r="D5" i="2"/>
  <c r="N2" i="2"/>
  <c r="M2" i="2"/>
  <c r="K2" i="2"/>
  <c r="J2" i="2"/>
  <c r="H2" i="2"/>
  <c r="C2" i="2"/>
  <c r="A29" i="4"/>
  <c r="C23" i="4"/>
  <c r="C16" i="4"/>
  <c r="E9" i="4"/>
  <c r="D9" i="4"/>
  <c r="E29" i="4"/>
  <c r="B29" i="4"/>
  <c r="E26" i="4"/>
  <c r="D26" i="4"/>
  <c r="C26" i="4"/>
  <c r="B26" i="4"/>
  <c r="A26" i="4"/>
  <c r="I22" i="4"/>
  <c r="C22" i="4"/>
  <c r="I21" i="4"/>
  <c r="C21" i="4"/>
  <c r="I20" i="4"/>
  <c r="C20" i="4"/>
  <c r="I19" i="4"/>
  <c r="C19" i="4"/>
  <c r="C15" i="4"/>
  <c r="C14" i="4"/>
  <c r="C13" i="4"/>
  <c r="C12" i="4"/>
  <c r="E8" i="4"/>
  <c r="D8" i="4"/>
  <c r="E7" i="4"/>
  <c r="D7" i="4"/>
  <c r="E6" i="4"/>
  <c r="D6" i="4"/>
  <c r="E5" i="4"/>
  <c r="D5" i="4"/>
  <c r="N2" i="4"/>
  <c r="M2" i="4"/>
  <c r="K2" i="4"/>
  <c r="J2" i="4"/>
  <c r="H2" i="4"/>
  <c r="C2" i="4"/>
  <c r="E23" i="4" s="1"/>
  <c r="E29" i="1"/>
  <c r="B29" i="1"/>
  <c r="I26" i="1" a="1"/>
  <c r="E26" i="1"/>
  <c r="D26" i="1"/>
  <c r="C26" i="1"/>
  <c r="B26" i="1"/>
  <c r="A26" i="1"/>
  <c r="C22" i="1"/>
  <c r="C21" i="1"/>
  <c r="C20" i="1"/>
  <c r="C19" i="1"/>
  <c r="C15" i="1"/>
  <c r="C14" i="1"/>
  <c r="C13" i="1"/>
  <c r="C12" i="1"/>
  <c r="E8" i="1"/>
  <c r="D8" i="1"/>
  <c r="H8" i="1" s="1"/>
  <c r="E7" i="1"/>
  <c r="D7" i="1"/>
  <c r="H7" i="1" s="1"/>
  <c r="E6" i="1"/>
  <c r="D6" i="1"/>
  <c r="E5" i="1"/>
  <c r="D29" i="1" s="1"/>
  <c r="D5" i="1"/>
  <c r="H5" i="1" s="1"/>
  <c r="C2" i="1"/>
  <c r="H9" i="1" l="1"/>
  <c r="G9" i="1"/>
  <c r="K30" i="2"/>
  <c r="C30" i="2"/>
  <c r="K29" i="2"/>
  <c r="C29" i="2"/>
  <c r="H9" i="2"/>
  <c r="G9" i="2"/>
  <c r="H8" i="2"/>
  <c r="G8" i="2"/>
  <c r="H7" i="2"/>
  <c r="G7" i="2"/>
  <c r="H6" i="2"/>
  <c r="G6" i="2"/>
  <c r="D30" i="2"/>
  <c r="D29" i="2"/>
  <c r="H5" i="2"/>
  <c r="G5" i="2"/>
  <c r="E23" i="2"/>
  <c r="E22" i="2"/>
  <c r="E21" i="2"/>
  <c r="E20" i="2"/>
  <c r="E19" i="2"/>
  <c r="H9" i="4"/>
  <c r="G9" i="4"/>
  <c r="E21" i="4"/>
  <c r="E22" i="4"/>
  <c r="E20" i="4"/>
  <c r="E19" i="4"/>
  <c r="C29" i="4"/>
  <c r="K29" i="4"/>
  <c r="H8" i="4"/>
  <c r="G8" i="4"/>
  <c r="H7" i="4"/>
  <c r="G7" i="4"/>
  <c r="G6" i="4"/>
  <c r="H6" i="4"/>
  <c r="D29" i="4"/>
  <c r="H5" i="4"/>
  <c r="G5" i="4"/>
  <c r="K29" i="1"/>
  <c r="H6" i="1"/>
  <c r="G6" i="1"/>
  <c r="G7" i="1"/>
  <c r="E19" i="1"/>
  <c r="E20" i="1"/>
  <c r="C29" i="1"/>
  <c r="G8" i="1"/>
  <c r="E21" i="1"/>
  <c r="E22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<sst xmlns="http://schemas.openxmlformats.org/spreadsheetml/2006/main" count="495" uniqueCount="133">
  <si>
    <t>site</t>
  </si>
  <si>
    <t>intf_prefix</t>
  </si>
  <si>
    <t>router-id</t>
  </si>
  <si>
    <t>brukernavn</t>
  </si>
  <si>
    <t>passord</t>
  </si>
  <si>
    <t>vty_lines</t>
  </si>
  <si>
    <t>secret</t>
  </si>
  <si>
    <t>ISP-VLAN</t>
  </si>
  <si>
    <t>tacacs_key</t>
  </si>
  <si>
    <t>DHCP</t>
  </si>
  <si>
    <t>dns_servers</t>
  </si>
  <si>
    <t>tacacs_server_ip</t>
  </si>
  <si>
    <t>syslog_server_ip</t>
  </si>
  <si>
    <t>urpf_mode</t>
  </si>
  <si>
    <t>radius_server_ip</t>
  </si>
  <si>
    <t>radius_key</t>
  </si>
  <si>
    <t>dmvpn_phase</t>
  </si>
  <si>
    <t>tacacs_syntax</t>
  </si>
  <si>
    <t>radius_syntax</t>
  </si>
  <si>
    <t>dot1x_syntax</t>
  </si>
  <si>
    <t>eigrp_syntax</t>
  </si>
  <si>
    <t>vrf_syntax</t>
  </si>
  <si>
    <t>ike_version</t>
  </si>
  <si>
    <t>secret_type</t>
  </si>
  <si>
    <t>trunk_encapsulation</t>
  </si>
  <si>
    <t>g0/</t>
  </si>
  <si>
    <t>admin</t>
  </si>
  <si>
    <t>$9$0nNdTjfcaOQFlP$4VgON16XmZXlfGr4BcOzEN7OoRxfPIAcXDQ0afwx67k</t>
  </si>
  <si>
    <t>TACACS-KEY</t>
  </si>
  <si>
    <t>10.1.10.10</t>
  </si>
  <si>
    <t>OFF</t>
  </si>
  <si>
    <t>RADIUS-KEY</t>
  </si>
  <si>
    <t>NEW</t>
  </si>
  <si>
    <t>AUTH</t>
  </si>
  <si>
    <t>NAMED</t>
  </si>
  <si>
    <t>OLD</t>
  </si>
  <si>
    <t>IKEV2</t>
  </si>
  <si>
    <t>AUTO</t>
  </si>
  <si>
    <t>vrf</t>
  </si>
  <si>
    <t>vlan</t>
  </si>
  <si>
    <t>interface</t>
  </si>
  <si>
    <t>nett id</t>
  </si>
  <si>
    <t>gateway</t>
  </si>
  <si>
    <t>mask</t>
  </si>
  <si>
    <t>address min</t>
  </si>
  <si>
    <t>address max</t>
  </si>
  <si>
    <t>antall-res</t>
  </si>
  <si>
    <t>pri-afxx</t>
  </si>
  <si>
    <t>pri-1-10</t>
  </si>
  <si>
    <t>MGMT</t>
  </si>
  <si>
    <t>255.255.255.0</t>
  </si>
  <si>
    <t>INET</t>
  </si>
  <si>
    <t>UNET</t>
  </si>
  <si>
    <t>PA</t>
  </si>
  <si>
    <t>MONITORING</t>
  </si>
  <si>
    <t>loopback</t>
  </si>
  <si>
    <t>laddr</t>
  </si>
  <si>
    <t>tunnel id</t>
  </si>
  <si>
    <t>ip address</t>
  </si>
  <si>
    <t>source</t>
  </si>
  <si>
    <t>destination</t>
  </si>
  <si>
    <t>gre mode</t>
  </si>
  <si>
    <t>network-id</t>
  </si>
  <si>
    <t>ipsec</t>
  </si>
  <si>
    <t>ipsec key</t>
  </si>
  <si>
    <t>tunnel 10</t>
  </si>
  <si>
    <t>multipoint</t>
  </si>
  <si>
    <t>tunnel 20</t>
  </si>
  <si>
    <t>tunnel 30</t>
  </si>
  <si>
    <t>tunnel 40</t>
  </si>
  <si>
    <t>etherchan_num</t>
  </si>
  <si>
    <t>span_mode</t>
  </si>
  <si>
    <t>dot1x_vlans</t>
  </si>
  <si>
    <t>SW</t>
  </si>
  <si>
    <t>MGMT Vlan</t>
  </si>
  <si>
    <t>MGMT ip</t>
  </si>
  <si>
    <t>num_ports_tot</t>
  </si>
  <si>
    <t>skiped_ports</t>
  </si>
  <si>
    <t>num_downlink</t>
  </si>
  <si>
    <t>vlan-antall</t>
  </si>
  <si>
    <t>num_port_ledig</t>
  </si>
  <si>
    <t>MONITORING ip</t>
  </si>
  <si>
    <t>DOT1Q_CMD</t>
  </si>
  <si>
    <t>protocol</t>
  </si>
  <si>
    <t>destination_port</t>
  </si>
  <si>
    <t>action</t>
  </si>
  <si>
    <t>FLOW_POLICY</t>
  </si>
  <si>
    <t>Hvordan den brukes</t>
  </si>
  <si>
    <t>udp</t>
  </si>
  <si>
    <t>permit</t>
  </si>
  <si>
    <t>Rekkefølge</t>
  </si>
  <si>
    <t>Regler evalueres ovenfra og ned. Generatoren avslutter hver ACL med deny ip any any log.</t>
  </si>
  <si>
    <t>ip</t>
  </si>
  <si>
    <t>any</t>
  </si>
  <si>
    <t>VRF-navn</t>
  </si>
  <si>
    <t>Destination=MGMT/INET/UNET/PA betyr kjente LAN-nett i VRF-en på tvers av sites. MGMT inkluderer også MGMT-loopbacks for administrasjon.</t>
  </si>
  <si>
    <t>INTERNET/ANY</t>
  </si>
  <si>
    <t>Matcher any. Legg eksplisitte deny-regler før brede Internet-permits når interne mål skal blokkeres.</t>
  </si>
  <si>
    <t>deny</t>
  </si>
  <si>
    <t>Spesialregel som genererer UDP 68 -&gt; 67 slik at DHCP Discover ikke blokkeres av source-subnet match.</t>
  </si>
  <si>
    <t>DNS</t>
  </si>
  <si>
    <t>DNS/TACACS/SYSLOG</t>
  </si>
  <si>
    <t>Slår opp server-IP automatisk fra metadata i site-arkene.</t>
  </si>
  <si>
    <t>tcp</t>
  </si>
  <si>
    <t>uRPF</t>
  </si>
  <si>
    <t>urpf_mode står OFF som standard. STRICT/LOOSE er tilgjengelig, men må testes mot DHCP/asymmetrisk routing.</t>
  </si>
  <si>
    <t>INTERNET</t>
  </si>
  <si>
    <t>Ikke med i standard klient-flow-policy. ERSPAN/MONITORING behandles som infrastruktur slik at speiltrafikken ikke blokkeres ved et uhell.</t>
  </si>
  <si>
    <t>Tilpass</t>
  </si>
  <si>
    <t>Endre radene i A:E til den faktiske tjenestematrisen. Bare sources som finnes i policyen får en generert ingress-ACL.</t>
  </si>
  <si>
    <t>RADIUS</t>
  </si>
  <si>
    <t>Destination=RADIUS kan brukes som symbolsk mål og slår opp radius_server_ip fra site-metadata.</t>
  </si>
  <si>
    <t>802.1X</t>
  </si>
  <si>
    <t xml:space="preserve">dot1x_vlans i switch-metadata styrer hvilke klient-VLAN som får 802.1X på accessportene. </t>
  </si>
  <si>
    <t>snmpv3_enabled</t>
  </si>
  <si>
    <t>snmp_server_ip</t>
  </si>
  <si>
    <t>snmp_user</t>
  </si>
  <si>
    <t>snmp_auth_password</t>
  </si>
  <si>
    <t>snmp_priv_password</t>
  </si>
  <si>
    <t>nmsuser</t>
  </si>
  <si>
    <t>SNMP-AUTH-KEY</t>
  </si>
  <si>
    <t>SNMP-PRIV-KEY</t>
  </si>
  <si>
    <t>200.1-20.5-30.5-40.5</t>
  </si>
  <si>
    <t>8.8.8.8,1.1.1.1</t>
  </si>
  <si>
    <t>SPAN</t>
  </si>
  <si>
    <t>0 - 15</t>
  </si>
  <si>
    <t>g1/0/</t>
  </si>
  <si>
    <t>20,30,40</t>
  </si>
  <si>
    <t>20.5-30.5-40.5</t>
  </si>
  <si>
    <t>20.2-30.2-40.2</t>
  </si>
  <si>
    <t>8.8.8.8, 1.1.1.1</t>
  </si>
  <si>
    <t xml:space="preserve"> </t>
  </si>
  <si>
    <t>tunnel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</si>
</sst>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b/>
      <sz val="10"/>
      <color rgb="FFFFFFFF"/>
      <name val="Arial"/>
    </font>
    <font>
      <sz val="11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AD5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EAD55"/>
      </patternFill>
    </fill>
    <fill>
      <patternFill patternType="solid">
        <fgColor theme="7"/>
      </patternFill>
    </fill>
    <fill>
      <patternFill patternType="solid">
        <fgColor rgb="FF2EAD55"/>
      </patternFill>
    </fill>
  </fills>
  <borders count="3">
    <border>
      <left/>
      <right/>
      <top/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3" fillId="0" borderId="0" xfId="0" applyFont="1"/>
    <xf numFmtId="0" fontId="14" fillId="2" borderId="0" xfId="0" applyFont="1" applyFill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14" fillId="0" borderId="0" xfId="0" applyFont="1"/>
    <xf numFmtId="0" fontId="1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/>
    <xf numFmtId="0" fontId="0" fillId="0" borderId="0" xfId="0" applyAlignment="1">
      <alignment vertical="center"/>
    </xf>
    <xf numFmtId="0" fontId="14" fillId="5" borderId="1" xfId="0" applyFont="1" applyFill="1" applyBorder="1"/>
    <xf numFmtId="0" fontId="14" fillId="6" borderId="1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5" fillId="0" borderId="0" xfId="0" applyFont="1"/>
    <xf numFmtId="0" fontId="14" fillId="7" borderId="2" xfId="0" applyFont="1" applyFill="1" applyBorder="1"/>
    <xf numFmtId="0" fontId="1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0" fontId="19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71">
    <dxf>
      <font>
        <sz val="11"/>
        <color auto="1"/>
        <family val="2"/>
      </font>
    </dxf>
    <dxf>
      <font>
        <u val="none"/>
        <sz val="11"/>
        <color rgb="FF000000"/>
        <name val="Arial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  <alignment horizontal="left" vertical="center" textRotation="0" wrapText="0" indent="0" justifyLastLine="0" shrinkToFit="0" readingOrder="0"/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numFmt numFmtId="0" formatCode="General"/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numFmt numFmtId="0" formatCode="General"/>
    </dxf>
    <dxf>
      <numFmt numFmtId="0" formatCode="General"/>
    </dxf>
    <dxf>
      <font>
        <u val="none"/>
        <sz val="11"/>
        <color rgb="FF000000"/>
        <name val="Arial"/>
        <scheme val="none"/>
      </font>
    </dxf>
    <dxf>
      <numFmt numFmtId="0" formatCode="General"/>
    </dxf>
    <dxf>
      <numFmt numFmtId="0" formatCode="General"/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1"/>
        <color theme="1"/>
        <name val="Arial"/>
        <scheme val="none"/>
      </font>
    </dxf>
    <dxf>
      <font>
        <u val="none"/>
        <sz val="10"/>
        <color theme="1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color theme="1"/>
      </font>
      <numFmt numFmtId="0" formatCode="General"/>
    </dxf>
    <dxf>
      <font>
        <color theme="1"/>
      </font>
    </dxf>
    <dxf>
      <font>
        <sz val="11"/>
        <color theme="1"/>
      </font>
      <alignment horizontal="left" vertical="center" textRotation="0" wrapText="0" indent="0" justifyLastLine="0" shrinkToFit="0" readingOrder="0"/>
    </dxf>
    <dxf>
      <font>
        <sz val="11"/>
      </font>
    </dxf>
    <dxf>
      <font>
        <u val="none"/>
        <sz val="11"/>
        <color rgb="FF000000"/>
        <name val="Arial"/>
        <scheme val="none"/>
      </font>
    </dxf>
    <dxf>
      <font>
        <u val="none"/>
        <sz val="11"/>
        <color rgb="FF000000"/>
        <name val="Arial"/>
        <scheme val="none"/>
      </font>
    </dxf>
    <dxf>
      <font>
        <sz val="11"/>
      </font>
    </dxf>
    <dxf>
      <font>
        <sz val="11"/>
      </font>
      <numFmt numFmtId="0" formatCode="General"/>
    </dxf>
    <dxf>
      <font>
        <sz val="11"/>
      </font>
      <numFmt numFmtId="0" formatCode="General"/>
    </dxf>
    <dxf>
      <font>
        <sz val="11"/>
      </font>
    </dxf>
    <dxf>
      <font>
        <sz val="11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theme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  <numFmt numFmtId="0" formatCode="General"/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  <dxf>
      <font>
        <u val="none"/>
        <sz val="11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5" displayName="Tabell5" ref="A1:AD2">
  <tableColumns count="30">
    <tableColumn id="1" xr3:uid="{00000000-0010-0000-0000-000001000000}" name="site"/>
    <tableColumn id="2" xr3:uid="{00000000-0010-0000-0000-000002000000}" name="intf_prefix"/>
    <tableColumn id="3" xr3:uid="{00000000-0010-0000-0000-000003000000}" name="router-id"/>
    <tableColumn id="4" xr3:uid="{00000000-0010-0000-0000-000004000000}" name="brukernavn"/>
    <tableColumn id="5" xr3:uid="{00000000-0010-0000-0000-000005000000}" name="passord"/>
    <tableColumn id="6" xr3:uid="{00000000-0010-0000-0000-000006000000}" name="vty_lines"/>
    <tableColumn id="7" xr3:uid="{00000000-0010-0000-0000-000007000000}" name="secret" dataDxfId="110"/>
    <tableColumn id="25" xr3:uid="{00000000-0010-0000-0000-000019000000}" name="ISP-VLAN" dataDxfId="109"/>
    <tableColumn id="8" xr3:uid="{00000000-0010-0000-0000-000008000000}" name="tacacs_key" dataDxfId="108"/>
    <tableColumn id="9" xr3:uid="{00000000-0010-0000-0000-000009000000}" name="DHCP" dataDxfId="107"/>
    <tableColumn id="10" xr3:uid="{00000000-0010-0000-0000-00000A000000}" name="dns_servers" dataDxfId="106"/>
    <tableColumn id="11" xr3:uid="{00000000-0010-0000-0000-00000B000000}" name="tacacs_server_ip" dataDxfId="105"/>
    <tableColumn id="12" xr3:uid="{00000000-0010-0000-0000-00000C000000}" name="syslog_server_ip" dataDxfId="104"/>
    <tableColumn id="13" xr3:uid="{00000000-0010-0000-0000-00000D000000}" name="urpf_mode" dataDxfId="103"/>
    <tableColumn id="14" xr3:uid="{00000000-0010-0000-0000-00000E000000}" name="radius_server_ip" dataDxfId="102"/>
    <tableColumn id="15" xr3:uid="{00000000-0010-0000-0000-00000F000000}" name="radius_key" dataDxfId="101"/>
    <tableColumn id="16" xr3:uid="{00000000-0010-0000-0000-000010000000}" name="dmvpn_phase" dataDxfId="100"/>
    <tableColumn id="17" xr3:uid="{00000000-0010-0000-0000-000011000000}" name="tacacs_syntax" dataDxfId="99"/>
    <tableColumn id="18" xr3:uid="{00000000-0010-0000-0000-000012000000}" name="radius_syntax" dataDxfId="98"/>
    <tableColumn id="19" xr3:uid="{00000000-0010-0000-0000-000013000000}" name="dot1x_syntax" dataDxfId="97"/>
    <tableColumn id="20" xr3:uid="{00000000-0010-0000-0000-000014000000}" name="eigrp_syntax" dataDxfId="96"/>
    <tableColumn id="21" xr3:uid="{00000000-0010-0000-0000-000015000000}" name="vrf_syntax" dataDxfId="95"/>
    <tableColumn id="22" xr3:uid="{00000000-0010-0000-0000-000016000000}" name="ike_version" dataDxfId="94"/>
    <tableColumn id="23" xr3:uid="{00000000-0010-0000-0000-000017000000}" name="secret_type" dataDxfId="93"/>
    <tableColumn id="24" xr3:uid="{00000000-0010-0000-0000-000018000000}" name="trunk_encapsulation" dataDxfId="92"/>
    <tableColumn id="26" xr3:uid="{7A70CB3D-3E69-4511-AFC7-833193219BEB}" name="snmpv3_enabled" dataDxfId="91"/>
    <tableColumn id="27" xr3:uid="{209B66CE-CA9A-4100-AF1F-D365CF1FFE1D}" name="snmp_server_ip" dataDxfId="90"/>
    <tableColumn id="28" xr3:uid="{35546B6C-3A4D-4CB1-960A-7557AC2139AF}" name="snmp_user" dataDxfId="89"/>
    <tableColumn id="29" xr3:uid="{EEE156DA-8F56-4FDB-B5BD-E05593FB26D6}" name="snmp_auth_password" dataDxfId="88"/>
    <tableColumn id="30" xr3:uid="{C5D4501A-8EFA-4918-A4F1-64D389B519DA}" name="snmp_priv_password" dataDxfId="87"/>
  </tableColumns>
  <tableStyleInfo name="TableStyleLight1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ell6" displayName="Tabell6" ref="A4:K9">
  <tableColumns count="11">
    <tableColumn id="1" xr3:uid="{00000000-0010-0000-0100-000001000000}" name="vrf"/>
    <tableColumn id="2" xr3:uid="{00000000-0010-0000-0100-000002000000}" name="vlan"/>
    <tableColumn id="3" xr3:uid="{00000000-0010-0000-0100-000003000000}" name="interface"/>
    <tableColumn id="4" xr3:uid="{00000000-0010-0000-0100-000004000000}" name="nett id" dataDxfId="86">
      <calculatedColumnFormula>10&amp;"."&amp;($A$2)&amp;"."&amp;$B5&amp;"."&amp;0</calculatedColumnFormula>
    </tableColumn>
    <tableColumn id="5" xr3:uid="{00000000-0010-0000-0100-000005000000}" name="gateway"/>
    <tableColumn id="6" xr3:uid="{00000000-0010-0000-0100-000006000000}" name="mask"/>
    <tableColumn id="7" xr3:uid="{00000000-0010-0000-0100-000007000000}" name="address min"/>
    <tableColumn id="8" xr3:uid="{00000000-0010-0000-0100-000008000000}" name="address max" dataDxfId="85">
      <calculatedColumnFormula array="1">_xlfn.LET(
_xlpm.net,SUM(--_xlfn.TEXTSPLIT(Tabell6[[#This Row],[nett id]],".")*{16777216,65536,256,1}),
_xlpm.mask,SUM(--_xlfn.TEXTSPLIT(Tabell6[[#This Row],[mask]],".")*{16777216,65536,256,1}),
_xlpm.addr,_xlpm.net+(4294967295-_xlpm.mask)-1,
_xlfn.TEXTJOIN(".",TRUE,MOD(QUOTIENT(_xlpm.addr,{16777216,65536,256,1}),256))
)</calculatedColumnFormula>
    </tableColumn>
    <tableColumn id="9" xr3:uid="{00000000-0010-0000-0100-000009000000}" name="antall-res" dataDxfId="84"/>
    <tableColumn id="10" xr3:uid="{00000000-0010-0000-0100-00000A000000}" name="pri-afxx"/>
    <tableColumn id="11" xr3:uid="{00000000-0010-0000-0100-00000B000000}" name="pri-1-10"/>
  </tableColumns>
  <tableStyleInfo name="TableStyleLight1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ell7" displayName="Tabell7" ref="A11:C16">
  <tableColumns count="3">
    <tableColumn id="1" xr3:uid="{00000000-0010-0000-0200-000001000000}" name="vrf"/>
    <tableColumn id="3" xr3:uid="{00000000-0010-0000-0200-000003000000}" name="loopback"/>
    <tableColumn id="4" xr3:uid="{00000000-0010-0000-0200-000004000000}" name="laddr">
      <calculatedColumnFormula>$A$2&amp;"."&amp;$A$2&amp;"."&amp;$A$2&amp;"."&amp;(B12)</calculatedColumnFormula>
    </tableColumn>
  </tableColumns>
  <tableStyleInfo name="TableStyleLight1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Tabell8" displayName="Tabell8" ref="A18:J23">
  <tableColumns count="10">
    <tableColumn id="1" xr3:uid="{00000000-0010-0000-0300-000001000000}" name="tunnel id"/>
    <tableColumn id="2" xr3:uid="{00000000-0010-0000-0300-000002000000}" name="vrf"/>
    <tableColumn id="3" xr3:uid="{00000000-0010-0000-0300-000003000000}" name="ip address" dataDxfId="83">
      <calculatedColumnFormula>172&amp;"."&amp;16&amp;"."&amp;$H19&amp;"."&amp;($A$2)</calculatedColumnFormula>
    </tableColumn>
    <tableColumn id="4" xr3:uid="{00000000-0010-0000-0300-000004000000}" name="mask"/>
    <tableColumn id="5" xr3:uid="{00000000-0010-0000-0300-000005000000}" name="source" dataDxfId="82">
      <calculatedColumnFormula>$C$2</calculatedColumnFormula>
    </tableColumn>
    <tableColumn id="6" xr3:uid="{00000000-0010-0000-0300-000006000000}" name="destination"/>
    <tableColumn id="7" xr3:uid="{00000000-0010-0000-0300-000007000000}" name="gre mode"/>
    <tableColumn id="8" xr3:uid="{00000000-0010-0000-0300-000008000000}" name="network-id"/>
    <tableColumn id="9" xr3:uid="{00000000-0010-0000-0300-000009000000}" name="ipsec"/>
    <tableColumn id="10" xr3:uid="{00000000-0010-0000-0300-00000A000000}" name="ipsec key"/>
  </tableColumns>
  <tableStyleInfo name="TableStyleLight1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4000000}" name="Tabell131921" displayName="Tabell131921" ref="A25:I26" dataDxfId="81">
  <tableColumns count="9">
    <tableColumn id="1" xr3:uid="{00000000-0010-0000-0400-000001000000}" name="site" dataDxfId="80">
      <calculatedColumnFormula>A2</calculatedColumnFormula>
    </tableColumn>
    <tableColumn id="2" xr3:uid="{00000000-0010-0000-0400-000002000000}" name="brukernavn" dataDxfId="79"/>
    <tableColumn id="4" xr3:uid="{00000000-0010-0000-0400-000004000000}" name="passord" dataDxfId="78"/>
    <tableColumn id="5" xr3:uid="{00000000-0010-0000-0400-000005000000}" name="vty_lines" dataDxfId="77"/>
    <tableColumn id="3" xr3:uid="{00000000-0010-0000-0400-000003000000}" name="secret" dataDxfId="76"/>
    <tableColumn id="6" xr3:uid="{00000000-0010-0000-0400-000006000000}" name="etherchan_num" dataDxfId="75"/>
    <tableColumn id="7" xr3:uid="{00000000-0010-0000-0400-000007000000}" name="span_mode" dataDxfId="74"/>
    <tableColumn id="8" xr3:uid="{00000000-0010-0000-0400-000008000000}" name="dot1x_vlans" dataDxfId="0"/>
    <tableColumn id="9" xr3:uid="{00000000-0010-0000-0400-000009000000}" name="ISP-VLAN" dataDxfId="73">
      <calculatedColumnFormula array="1">Tabell5[ISP-VLAN]</calculatedColumnFormula>
    </tableColumn>
  </tableColumns>
  <tableStyleInfo name="TableStyleLight1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ell1618242825" displayName="Tabell1618242825" ref="A28:Q29" totalsRowShown="0">
  <tableColumns count="17">
    <tableColumn id="1" xr3:uid="{00000000-0010-0000-0500-000001000000}" name="SW" dataDxfId="72">
      <calculatedColumnFormula>ROW()-28</calculatedColumnFormula>
    </tableColumn>
    <tableColumn id="2" xr3:uid="{00000000-0010-0000-0500-000002000000}" name="MGMT Vlan" dataDxfId="71"/>
    <tableColumn id="3" xr3:uid="{00000000-0010-0000-0500-000003000000}" name="MGMT ip" dataDxfId="70">
      <calculatedColumnFormula>LEFT($G$5,LEN($G$5)-1)&amp;(RIGHT($G$5,1)+A29)</calculatedColumnFormula>
    </tableColumn>
    <tableColumn id="4" xr3:uid="{00000000-0010-0000-0500-000004000000}" name="gateway" dataDxfId="69">
      <calculatedColumnFormula>$E$5</calculatedColumnFormula>
    </tableColumn>
    <tableColumn id="5" xr3:uid="{00000000-0010-0000-0500-000005000000}" name="mask" dataDxfId="68">
      <calculatedColumnFormula>$F$5</calculatedColumnFormula>
    </tableColumn>
    <tableColumn id="10" xr3:uid="{00000000-0010-0000-0500-00000A000000}" name="num_ports_tot" dataDxfId="67"/>
    <tableColumn id="11" xr3:uid="{00000000-0010-0000-0500-00000B000000}" name="skiped_ports" dataDxfId="66"/>
    <tableColumn id="6" xr3:uid="{00000000-0010-0000-0500-000006000000}" name="num_downlink" dataDxfId="65"/>
    <tableColumn id="7" xr3:uid="{00000000-0010-0000-0500-000007000000}" name="vlan-antall" dataDxfId="64"/>
    <tableColumn id="8" xr3:uid="{00000000-0010-0000-0500-000008000000}" name="intf_prefix" dataDxfId="63"/>
    <tableColumn id="9" xr3:uid="{00000000-0010-0000-0500-000009000000}" name="num_port_ledig" dataDxfId="62">
      <calculatedColumnFormula>IF($A29=1,F29-G29-H29*$F$26-2-IF($L$2&lt;&gt;$M$2,1,0)-IF(OR(UPPER($G$26)="SPAN",UPPER($G$26)="ERSPAN",UPPER($G$26)="RSPAN"),1,0),F29-G29-(1+H29)*$F$26-1)</calculatedColumnFormula>
    </tableColumn>
    <tableColumn id="12" xr3:uid="{00000000-0010-0000-0500-00000C000000}" name="MONITORING ip" dataDxfId="61"/>
    <tableColumn id="13" xr3:uid="{00000000-0010-0000-0500-00000D000000}" name="tacacs_syntax"/>
    <tableColumn id="14" xr3:uid="{00000000-0010-0000-0500-00000E000000}" name="radius_syntax"/>
    <tableColumn id="15" xr3:uid="{00000000-0010-0000-0500-00000F000000}" name="dot1x_syntax"/>
    <tableColumn id="16" xr3:uid="{00000000-0010-0000-0500-000010000000}" name="secret_type"/>
    <tableColumn id="17" xr3:uid="{00000000-0010-0000-0500-000011000000}" name="trunk_encapsulation"/>
  </tableColumns>
  <tableStyleInfo name="TableStyleLight1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BF1746-4E83-4B5C-8E47-1B33E5F0C823}" name="Tabell18" displayName="Tabell18" ref="A1:AA2" dataDxfId="60">
  <tableColumns count="27">
    <tableColumn id="1" xr3:uid="{F301071E-AB49-411D-B862-3D5F1A8652F4}" name="site" dataDxfId="59"/>
    <tableColumn id="2" xr3:uid="{28087ADC-D839-428A-B3B6-5D33053FC989}" name="intf_prefix" dataDxfId="58"/>
    <tableColumn id="3" xr3:uid="{E07A6BD4-5C25-4907-8DBF-B7CD7A55F1D8}" name="router-id" dataDxfId="57">
      <calculatedColumnFormula>A2&amp;"."&amp;A2&amp;"."&amp;A2&amp;".0"</calculatedColumnFormula>
    </tableColumn>
    <tableColumn id="4" xr3:uid="{E5D534F2-DADF-4E06-844E-EFC868A109BF}" name="brukernavn" dataDxfId="56"/>
    <tableColumn id="5" xr3:uid="{8E37AE50-BD24-4C9E-97D1-6B548927DBB7}" name="passord" dataDxfId="55"/>
    <tableColumn id="6" xr3:uid="{0A3407AA-8EBE-4074-85F9-778319C50E4E}" name="vty_lines" dataDxfId="54"/>
    <tableColumn id="7" xr3:uid="{0E482BA6-C79D-40DB-B45E-FDC671702D74}" name="secret" dataDxfId="53"/>
    <tableColumn id="8" xr3:uid="{C39694E5-0D09-45FB-A48D-8E9A8C91CA0E}" name="tacacs_key" dataDxfId="52">
      <calculatedColumnFormula>'Site 1 (HUB)'!I2</calculatedColumnFormula>
    </tableColumn>
    <tableColumn id="9" xr3:uid="{44EB3B31-5D13-48ED-A202-643DB3DE780D}" name="dns_servers" dataDxfId="51"/>
    <tableColumn id="10" xr3:uid="{97E12567-6CA3-4115-A196-2529D7160615}" name="tacacs_server_ip" dataDxfId="50">
      <calculatedColumnFormula>'Site 1 (HUB)'!L2</calculatedColumnFormula>
    </tableColumn>
    <tableColumn id="11" xr3:uid="{0346B8E5-A202-466C-AB4B-67EDD69B81A1}" name="syslog_server_ip" dataDxfId="49">
      <calculatedColumnFormula>'Site 1 (HUB)'!M2</calculatedColumnFormula>
    </tableColumn>
    <tableColumn id="12" xr3:uid="{EE86801E-B0D0-4B58-832A-86AC77A7EC9A}" name="urpf_mode" dataDxfId="48"/>
    <tableColumn id="14" xr3:uid="{5AAC65E5-8130-4C09-99B3-54C834DEE5C1}" name="radius_server_ip" dataDxfId="47">
      <calculatedColumnFormula>'Site 1 (HUB)'!O2</calculatedColumnFormula>
    </tableColumn>
    <tableColumn id="15" xr3:uid="{1C900422-8FD8-4B49-B19A-47F4CE877466}" name="radius_key" dataDxfId="46">
      <calculatedColumnFormula>'Site 1 (HUB)'!P2</calculatedColumnFormula>
    </tableColumn>
    <tableColumn id="13" xr3:uid="{AD662EC0-7940-4F3A-8F56-38E0BAEE7E2B}" name="tacacs_syntax" dataDxfId="45"/>
    <tableColumn id="16" xr3:uid="{103CB279-D718-4AF9-A977-B976A8B36356}" name="radius_syntax" dataDxfId="44"/>
    <tableColumn id="17" xr3:uid="{3496AD74-0539-4463-997F-A1CA64512F54}" name="dot1x_syntax" dataDxfId="43"/>
    <tableColumn id="18" xr3:uid="{F8B1DCD1-84B0-4090-BDAB-AD6FA5328F3C}" name="eigrp_syntax" dataDxfId="42"/>
    <tableColumn id="19" xr3:uid="{E8281F74-01EE-4CFD-8DF1-C429390E1E04}" name="vrf_syntax" dataDxfId="41"/>
    <tableColumn id="20" xr3:uid="{9FA158AF-3041-42DD-9BB3-CA83FCDE6CA1}" name="ike_version" dataDxfId="40"/>
    <tableColumn id="21" xr3:uid="{045B3C14-6117-44CA-9A5A-D8BA1860F47E}" name="secret_type" dataDxfId="39"/>
    <tableColumn id="22" xr3:uid="{3829C8E8-1959-4691-AF37-5B45456BC812}" name="trunk_encapsulation" dataDxfId="38"/>
    <tableColumn id="23" xr3:uid="{4CE3B16C-67F6-4DC2-9BB2-F8E09C5C8D74}" name="snmpv3_enabled" dataDxfId="37"/>
    <tableColumn id="24" xr3:uid="{7E57634C-C61D-454F-83A9-CCC1D7A3E9A7}" name="snmp_server_ip" dataDxfId="36"/>
    <tableColumn id="25" xr3:uid="{DA892339-1F60-44AE-B105-D466545319B6}" name="snmp_user" dataDxfId="35"/>
    <tableColumn id="26" xr3:uid="{10EE6F10-8503-4A58-9CA0-8FB438354050}" name="snmp_auth_password" dataDxfId="34"/>
    <tableColumn id="27" xr3:uid="{66121011-59AB-4D41-BDF5-22B7624358BE}" name="snmp_priv_password" dataDxfId="33"/>
  </tableColumns>
  <tableStyleInfo name="TableStyleLight1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9B9E14-0F60-413C-83C8-281F7E727FAD}" name="Tabell49" displayName="Tabell49" ref="A18:J23" dataDxfId="32">
  <tableColumns count="10">
    <tableColumn id="1" xr3:uid="{C939C381-1121-4153-B4EA-3E9AC4EFD622}" name="tunnel id" dataDxfId="31"/>
    <tableColumn id="2" xr3:uid="{402267D7-3F42-4106-963C-A00D2C73C6A3}" name="vrf" dataDxfId="30"/>
    <tableColumn id="3" xr3:uid="{4204F352-886B-4432-BF55-0DB72CCEC230}" name="ip address" dataDxfId="29">
      <calculatedColumnFormula>172&amp;"."&amp;16&amp;"."&amp;H19&amp;"."&amp;$A$2</calculatedColumnFormula>
    </tableColumn>
    <tableColumn id="4" xr3:uid="{E652E851-68C8-44CC-A804-D4A898A26E6B}" name="mask" dataDxfId="28"/>
    <tableColumn id="5" xr3:uid="{1B6660E8-062A-4243-A879-B9BBE79D61B2}" name="source" dataDxfId="27">
      <calculatedColumnFormula>$C$2</calculatedColumnFormula>
    </tableColumn>
    <tableColumn id="6" xr3:uid="{31E83213-6808-4B06-B3A2-334B8AEA93A6}" name="destination" dataDxfId="26"/>
    <tableColumn id="7" xr3:uid="{548BE719-FE15-47C2-BD8C-E15155610E6F}" name="gre mode" dataDxfId="25"/>
    <tableColumn id="8" xr3:uid="{AC2699E3-BB2E-4992-9A64-D04428D784DC}" name="network-id" dataDxfId="24"/>
    <tableColumn id="9" xr3:uid="{911A5F49-374E-494E-9F87-E559E2AEA74A}" name="ipsec" dataDxfId="23">
      <calculatedColumnFormula>'Site 1 (HUB)'!I19</calculatedColumnFormula>
    </tableColumn>
    <tableColumn id="10" xr3:uid="{F9EF835F-35E0-4DBE-9B12-F79414F650B4}" name="ipsec key" dataDxfId="22"/>
  </tableColumns>
  <tableStyleInfo name="TableStyleLight1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31B441-D218-45B2-B01A-A4BBC8BD7979}" name="Tabell1319253010" displayName="Tabell1319253010" ref="A25:H26" dataDxfId="21">
  <tableColumns count="8">
    <tableColumn id="1" xr3:uid="{F434D49E-3876-49A2-911F-716DB0E46944}" name="site" dataDxfId="20">
      <calculatedColumnFormula>$A$2</calculatedColumnFormula>
    </tableColumn>
    <tableColumn id="4" xr3:uid="{96C6D5FD-CBC3-49D8-AFD4-9E1E09633C5A}" name="brukernavn" dataDxfId="19">
      <calculatedColumnFormula>$D$2</calculatedColumnFormula>
    </tableColumn>
    <tableColumn id="5" xr3:uid="{038EE345-4494-4999-88D7-0BF36304D24C}" name="passord" dataDxfId="18">
      <calculatedColumnFormula>$E$2</calculatedColumnFormula>
    </tableColumn>
    <tableColumn id="3" xr3:uid="{770D33D1-BE1F-45C0-8F6C-2E9C2A15365F}" name="vty_lines" dataDxfId="17">
      <calculatedColumnFormula>$F$2</calculatedColumnFormula>
    </tableColumn>
    <tableColumn id="2" xr3:uid="{87FFB71D-3185-4317-BD65-911279FF4E36}" name="secret" dataDxfId="16">
      <calculatedColumnFormula>$G$2</calculatedColumnFormula>
    </tableColumn>
    <tableColumn id="6" xr3:uid="{13F65231-00AD-4279-9566-BCCC6B905C94}" name="etherchan_num" dataDxfId="15"/>
    <tableColumn id="7" xr3:uid="{32F614C6-376B-4371-8715-7B2614BB4DBC}" name="span_mode" dataDxfId="14"/>
    <tableColumn id="8" xr3:uid="{70D4C587-3B90-40C4-BB6C-9CC884BED451}" name="dot1x_vlans" dataDxfId="13"/>
  </tableColumns>
  <tableStyleInfo name="TableStyleLight1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2D18C4-0B05-425E-B28E-67E8EEF86C01}" name="Tabell16182428253212" displayName="Tabell16182428253212" ref="A28:Q29" totalsRowShown="0">
  <tableColumns count="17">
    <tableColumn id="1" xr3:uid="{3D2619F9-8A27-48B4-BBAD-F8DAD24B7058}" name="SW" dataDxfId="12">
      <calculatedColumnFormula>ROW()-28</calculatedColumnFormula>
    </tableColumn>
    <tableColumn id="2" xr3:uid="{79D48293-3CC1-4FC8-B959-C76EC31AF05A}" name="MGMT Vlan" dataDxfId="11">
      <calculatedColumnFormula>$B$5</calculatedColumnFormula>
    </tableColumn>
    <tableColumn id="3" xr3:uid="{636012CC-2311-45D4-B0A3-CBE1DDB288EA}" name="MGMT ip" dataDxfId="10">
      <calculatedColumnFormula>10&amp;"."&amp;$A$2&amp;"."&amp;$B$5&amp;"."&amp;(A29+1)</calculatedColumnFormula>
    </tableColumn>
    <tableColumn id="4" xr3:uid="{57B036DD-2EC2-46AB-BA82-15C2E4251EE3}" name="gateway" dataDxfId="9">
      <calculatedColumnFormula>$E$5</calculatedColumnFormula>
    </tableColumn>
    <tableColumn id="5" xr3:uid="{6D16308A-64E5-4F82-9997-B8BD8FE03B86}" name="mask" dataDxfId="8">
      <calculatedColumnFormula>$F$5</calculatedColumnFormula>
    </tableColumn>
    <tableColumn id="10" xr3:uid="{10263F16-185C-4388-8A92-6BC4CA0E07C5}" name="num_ports_tot" dataDxfId="7"/>
    <tableColumn id="11" xr3:uid="{337036FB-EC4A-4A8B-A2D4-886EF58ACF98}" name="skiped_ports" dataDxfId="6"/>
    <tableColumn id="6" xr3:uid="{75ED65B8-97AC-498A-9CF3-0A234BF7E9F1}" name="num_downlink" dataDxfId="5"/>
    <tableColumn id="7" xr3:uid="{D2EB23FE-1E37-4D17-B4EC-11CAC9B6F0DC}" name="vlan-antall" dataDxfId="4"/>
    <tableColumn id="8" xr3:uid="{0815D94A-1C82-4867-98BC-98ABBA28ECDE}" name="intf_prefix" dataDxfId="3"/>
    <tableColumn id="9" xr3:uid="{CDF41783-F241-44AB-837D-97EDFE6911D4}" name="num_port_ledig" dataDxfId="2">
      <calculatedColumnFormula>IF($A29=1,F29-G29-H29*$F$26-2-IF(OR(UPPER($G$26)="SPAN",UPPER($G$26)="RSPAN"),1,0),F29-G29-(1+H29)*$F$26-1)</calculatedColumnFormula>
    </tableColumn>
    <tableColumn id="12" xr3:uid="{AACD1EB8-91AF-4962-8481-F05F6073247E}" name="MONITORING ip"/>
    <tableColumn id="13" xr3:uid="{7E243D0A-E644-41FD-A148-B1875C00196D}" name="tacacs_syntax"/>
    <tableColumn id="14" xr3:uid="{DBC0EF9C-754A-4F1A-AD0C-3A999D538347}" name="radius_syntax"/>
    <tableColumn id="15" xr3:uid="{73F5C42E-D3FF-4AEB-8766-FB4C6E26C2E1}" name="dot1x_syntax"/>
    <tableColumn id="16" xr3:uid="{3DF3E91F-29DF-42B7-8BE4-9457278406A4}" name="secret_type"/>
    <tableColumn id="17" xr3:uid="{2CFEA8EA-3D50-4B84-A069-434F906C1876}" name="trunk_encapsulation"/>
  </tableColumns>
  <tableStyleInfo name="TableStyleLight1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8E17A8-D111-4A2F-8101-D45B05AD0BB5}" name="Tabell6214" displayName="Tabell6214" ref="A4:K8">
  <tableColumns count="11">
    <tableColumn id="1" xr3:uid="{CC1AA328-A218-4F84-A0AF-9F021BDC546B}" name="vrf"/>
    <tableColumn id="2" xr3:uid="{B69DA7F6-D441-4D1F-9BD5-0FFD34DC7968}" name="vlan"/>
    <tableColumn id="3" xr3:uid="{F6DCB80F-2B53-40DA-A53C-9EEF0E850482}" name="interface"/>
    <tableColumn id="4" xr3:uid="{8DBFFE92-3B45-4122-819E-272FF8FEED1E}" name="nett id">
      <calculatedColumnFormula>10&amp;"."&amp;$A$2&amp;"."&amp;B5&amp;".0"</calculatedColumnFormula>
    </tableColumn>
    <tableColumn id="5" xr3:uid="{1A76ECB4-477D-43BD-933D-CA839E86FEE1}" name="gateway">
      <calculatedColumnFormula>10&amp;"."&amp;$A$2&amp;"."&amp;B5&amp;".1"</calculatedColumnFormula>
    </tableColumn>
    <tableColumn id="6" xr3:uid="{643E4998-713D-4F39-993A-B5B110F8184B}" name="mask"/>
    <tableColumn id="7" xr3:uid="{9403EEA1-4392-41BF-9502-87C3A1CF28BE}" name="address min">
      <calculatedColumnFormula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calculatedColumnFormula>
    </tableColumn>
    <tableColumn id="8" xr3:uid="{09FF5408-B542-4803-BB81-19C6D96455ED}" name="address max">
      <calculatedColumnFormula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calculatedColumnFormula>
    </tableColumn>
    <tableColumn id="9" xr3:uid="{1C2CE40E-C587-4306-B04C-05E7E830B912}" name="antall-res" dataDxfId="1"/>
    <tableColumn id="10" xr3:uid="{062A0975-F29C-4725-993D-1C745C38968F}" name=" "/>
    <tableColumn id="11" xr3:uid="{E9F272DB-833F-4003-8FE1-C3489DCBD223}" name="pri-1-10"/>
  </tableColumns>
  <tableStyleInfo name="TableStyleLight1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7249B9-B569-4AB4-A5F4-44E14EC73E12}" name="Tabell7715" displayName="Tabell7715" ref="A11:C16">
  <tableColumns count="3">
    <tableColumn id="1" xr3:uid="{3A3EB178-6BB6-4F25-BFF2-BC4D427D60C7}" name="vrf"/>
    <tableColumn id="3" xr3:uid="{00063F96-3CCE-4FBF-AEA1-0FEA482EE82B}" name="loopback"/>
    <tableColumn id="4" xr3:uid="{068346AF-14A6-4C4B-94E5-C3159DB837E3}" name="laddr">
      <calculatedColumnFormula>$A$2&amp;"."&amp;$A$2&amp;"."&amp;$A$2&amp;"."&amp;B12</calculatedColumnFormula>
    </tableColumn>
  </tableColumns>
  <tableStyleInfo name="TableStyleLight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0AC8E-4581-4040-8CC5-F80E674B402C}" name="Tabell182" displayName="Tabell182" ref="A1:AA2" dataDxfId="170">
  <tableColumns count="27">
    <tableColumn id="1" xr3:uid="{DFCE91FF-608A-44ED-A5CB-ACD8B514AF73}" name="site" dataDxfId="169"/>
    <tableColumn id="2" xr3:uid="{5DF854F6-DD6B-482C-B348-01B229D7B185}" name="intf_prefix" dataDxfId="168"/>
    <tableColumn id="3" xr3:uid="{790C3FB9-3DCF-4CFE-B434-3841F3F4CF2D}" name="router-id" dataDxfId="167">
      <calculatedColumnFormula>A2&amp;"."&amp;A2&amp;"."&amp;A2&amp;".0"</calculatedColumnFormula>
    </tableColumn>
    <tableColumn id="4" xr3:uid="{FA3F5E0E-C16D-4EA4-BDD0-AB9FF9D36A22}" name="brukernavn" dataDxfId="166"/>
    <tableColumn id="5" xr3:uid="{D4D947B6-A29A-4505-A4DA-815913EDDA88}" name="passord" dataDxfId="165"/>
    <tableColumn id="6" xr3:uid="{7A49D571-9CC6-43ED-B79F-D38304D89536}" name="vty_lines" dataDxfId="164"/>
    <tableColumn id="7" xr3:uid="{12F1C824-518B-4333-B662-47EC33509F9D}" name="secret" dataDxfId="163"/>
    <tableColumn id="8" xr3:uid="{0DDBDB15-F6E1-4438-8FA4-CBDC7F940431}" name="tacacs_key" dataDxfId="162">
      <calculatedColumnFormula>'Site 1 (HUB)'!I2</calculatedColumnFormula>
    </tableColumn>
    <tableColumn id="9" xr3:uid="{DCAD99D0-D61D-4F08-8352-0D7B17728799}" name="dns_servers" dataDxfId="161"/>
    <tableColumn id="10" xr3:uid="{B6B56649-3DA3-4CFB-92A6-6719284F2DDA}" name="tacacs_server_ip" dataDxfId="160">
      <calculatedColumnFormula>'Site 1 (HUB)'!L2</calculatedColumnFormula>
    </tableColumn>
    <tableColumn id="11" xr3:uid="{2734B32E-340C-4B96-8086-D16467942071}" name="syslog_server_ip" dataDxfId="159">
      <calculatedColumnFormula>'Site 1 (HUB)'!M2</calculatedColumnFormula>
    </tableColumn>
    <tableColumn id="12" xr3:uid="{932EA2FA-00C9-4B65-96DE-2A8C7CCC9623}" name="urpf_mode" dataDxfId="158"/>
    <tableColumn id="14" xr3:uid="{0A05EAA9-4619-4CC8-AF17-9890232CE0A7}" name="radius_server_ip" dataDxfId="157">
      <calculatedColumnFormula>'Site 1 (HUB)'!O2</calculatedColumnFormula>
    </tableColumn>
    <tableColumn id="15" xr3:uid="{B3F95825-6EF4-4409-B363-0BE17244502B}" name="radius_key" dataDxfId="156">
      <calculatedColumnFormula>'Site 1 (HUB)'!P2</calculatedColumnFormula>
    </tableColumn>
    <tableColumn id="13" xr3:uid="{58ECFE80-A988-475F-BD24-A26F8EFC7A8D}" name="tacacs_syntax" dataDxfId="155"/>
    <tableColumn id="16" xr3:uid="{79E9C26B-4DDA-44F0-88A9-BD1FFF65EA6D}" name="radius_syntax" dataDxfId="154"/>
    <tableColumn id="17" xr3:uid="{45BFC1E5-9227-484E-A609-C4DBCB058F2C}" name="dot1x_syntax" dataDxfId="153"/>
    <tableColumn id="18" xr3:uid="{DE5CD905-AB0A-4281-96DD-1500626743D4}" name="eigrp_syntax" dataDxfId="152"/>
    <tableColumn id="19" xr3:uid="{B072AF5E-0DB2-49BB-8F74-FA3249A788FE}" name="vrf_syntax" dataDxfId="151"/>
    <tableColumn id="20" xr3:uid="{6706F7F4-BF14-4761-9D16-BD6D20F80622}" name="ike_version" dataDxfId="150"/>
    <tableColumn id="21" xr3:uid="{1A182393-1100-428B-8B4D-9AFB98D01661}" name="secret_type" dataDxfId="149"/>
    <tableColumn id="22" xr3:uid="{49E7B89A-8DF7-4889-839B-D8838B6390C7}" name="trunk_encapsulation" dataDxfId="148"/>
    <tableColumn id="23" xr3:uid="{FAA8BF28-43AD-4E66-BF05-ACADD2A986A6}" name="snmpv3_enabled" dataDxfId="147"/>
    <tableColumn id="24" xr3:uid="{BE8ED0D7-0829-4E21-8670-4897E3ADE322}" name="snmp_server_ip" dataDxfId="146"/>
    <tableColumn id="25" xr3:uid="{C61E16D6-489B-4639-A0C5-A22F2664CCB2}" name="snmp_user" dataDxfId="145"/>
    <tableColumn id="26" xr3:uid="{2900EC79-7717-462E-B651-5F02EAEE0440}" name="snmp_auth_password" dataDxfId="144"/>
    <tableColumn id="27" xr3:uid="{CC2C2D42-240D-452D-B846-BB1DEF70F8D8}" name="snmp_priv_password" dataDxfId="143"/>
  </tableColumns>
  <tableStyleInfo name="TableStyleLight1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44F68-52DD-4020-A8C3-121097047CE4}" name="Tabell493" displayName="Tabell493" ref="A18:J23" dataDxfId="142">
  <tableColumns count="10">
    <tableColumn id="1" xr3:uid="{55B6356B-AFF1-4386-837E-122F110FE048}" name="tunnel id" dataDxfId="141"/>
    <tableColumn id="2" xr3:uid="{B5627186-AB74-4D83-9392-91908D53F7BB}" name="vrf" dataDxfId="140"/>
    <tableColumn id="3" xr3:uid="{5D8B1DCA-3FFB-4C14-9357-5B2911B0414B}" name="ip address" dataDxfId="139">
      <calculatedColumnFormula>172&amp;"."&amp;16&amp;"."&amp;H19&amp;"."&amp;$A$2</calculatedColumnFormula>
    </tableColumn>
    <tableColumn id="4" xr3:uid="{5E9F71E8-6C96-465D-8829-6F95E415C54C}" name="mask" dataDxfId="138"/>
    <tableColumn id="5" xr3:uid="{04B93F27-2105-4CD1-8282-A96667B8D048}" name="source" dataDxfId="137">
      <calculatedColumnFormula>$C$2</calculatedColumnFormula>
    </tableColumn>
    <tableColumn id="6" xr3:uid="{4F9F6E3C-23F1-4807-9408-1055BD20C8BE}" name="destination" dataDxfId="136"/>
    <tableColumn id="7" xr3:uid="{63AC65C8-779A-43ED-8BCC-861F84A05B7B}" name="gre mode" dataDxfId="135"/>
    <tableColumn id="8" xr3:uid="{12CFCF68-1AA6-478A-A878-30BEAAD47165}" name="network-id" dataDxfId="134"/>
    <tableColumn id="9" xr3:uid="{96158AEC-6587-4768-B48B-03A505CBF781}" name="ipsec" dataDxfId="133">
      <calculatedColumnFormula>'Site 1 (HUB)'!I19</calculatedColumnFormula>
    </tableColumn>
    <tableColumn id="10" xr3:uid="{8928B759-FF4A-40F1-971D-0C0EE8DD40B4}" name="ipsec key" dataDxfId="132"/>
  </tableColumns>
  <tableStyleInfo name="TableStyleLight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039491-9BC9-46AA-ACDA-873C6CFE06D8}" name="Tabell13192530107" displayName="Tabell13192530107" ref="A25:H26" dataDxfId="131">
  <tableColumns count="8">
    <tableColumn id="1" xr3:uid="{5FE8027B-1EBD-40FA-9138-BFA1D40F7043}" name="site" dataDxfId="130">
      <calculatedColumnFormula>$A$2</calculatedColumnFormula>
    </tableColumn>
    <tableColumn id="4" xr3:uid="{328AA2B5-7A14-44F9-B093-0500F8F3797B}" name="brukernavn" dataDxfId="129">
      <calculatedColumnFormula>$D$2</calculatedColumnFormula>
    </tableColumn>
    <tableColumn id="5" xr3:uid="{03DDB2FF-50BB-44A4-9A30-EAB05A418213}" name="passord" dataDxfId="128">
      <calculatedColumnFormula>$E$2</calculatedColumnFormula>
    </tableColumn>
    <tableColumn id="3" xr3:uid="{1297971E-A08E-4A6B-9A9B-6BE6B919F309}" name="vty_lines" dataDxfId="127">
      <calculatedColumnFormula>$F$2</calculatedColumnFormula>
    </tableColumn>
    <tableColumn id="2" xr3:uid="{0C8384C9-AA8F-4EF7-A6C3-F4B2C5EF2EAC}" name="secret" dataDxfId="126">
      <calculatedColumnFormula>$G$2</calculatedColumnFormula>
    </tableColumn>
    <tableColumn id="6" xr3:uid="{2CA86CB3-1D71-42BA-A7B0-DBD5BB2916B6}" name="etherchan_num" dataDxfId="125"/>
    <tableColumn id="7" xr3:uid="{755D61CE-A84F-47D5-B7F6-717BDFC54940}" name="span_mode" dataDxfId="124"/>
    <tableColumn id="8" xr3:uid="{D00F4A82-CD6D-4CB8-AE6D-E90F4F86412E}" name="dot1x_vlans" dataDxfId="123"/>
  </tableColumns>
  <tableStyleInfo name="TableStyleLight1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3708C6-BBA5-4081-A5A6-5F727C0852E6}" name="Tabell1618242825321216" displayName="Tabell1618242825321216" ref="A28:Q30" totalsRowShown="0">
  <tableColumns count="17">
    <tableColumn id="1" xr3:uid="{45194AB5-B480-4B1A-B95B-CA50B65B1264}" name="SW" dataDxfId="122">
      <calculatedColumnFormula>ROW()-28</calculatedColumnFormula>
    </tableColumn>
    <tableColumn id="2" xr3:uid="{E26F807A-4589-44B4-82F1-D4548A0F0070}" name="MGMT Vlan" dataDxfId="121">
      <calculatedColumnFormula>$B$5</calculatedColumnFormula>
    </tableColumn>
    <tableColumn id="3" xr3:uid="{6109B699-5B93-4FEA-8E30-9F0B359DB86F}" name="MGMT ip" dataDxfId="120">
      <calculatedColumnFormula>10&amp;"."&amp;$A$2&amp;"."&amp;$B$5&amp;"."&amp;(A29+1)</calculatedColumnFormula>
    </tableColumn>
    <tableColumn id="4" xr3:uid="{90803DA6-8268-4AAF-94FC-6CB82C7D1B68}" name="gateway" dataDxfId="119">
      <calculatedColumnFormula>$E$5</calculatedColumnFormula>
    </tableColumn>
    <tableColumn id="5" xr3:uid="{A7E5E398-6D1D-4B22-8003-FDDC8C87876E}" name="mask" dataDxfId="118">
      <calculatedColumnFormula>$F$5</calculatedColumnFormula>
    </tableColumn>
    <tableColumn id="10" xr3:uid="{B5FC786B-C70A-4E77-B469-9373A58198A2}" name="num_ports_tot" dataDxfId="117"/>
    <tableColumn id="11" xr3:uid="{A766979F-B52B-4052-9122-D365A4600150}" name="skiped_ports" dataDxfId="116"/>
    <tableColumn id="6" xr3:uid="{956ED757-3CF2-47A9-83E1-224C04FC15E2}" name="num_downlink" dataDxfId="115"/>
    <tableColumn id="7" xr3:uid="{AC8CB3C3-95F4-48BC-A5C7-7D1BC47D2896}" name="vlan-antall" dataDxfId="114"/>
    <tableColumn id="8" xr3:uid="{DFD5F6B7-25A1-4113-847E-63C8C8D1F3A5}" name="intf_prefix" dataDxfId="113"/>
    <tableColumn id="9" xr3:uid="{6240FEDA-0A81-4D8B-9087-893236958125}" name="num_port_ledig" dataDxfId="112">
      <calculatedColumnFormula>IF($A29=1,F29-G29-H29*$F$26-2-IF(OR(UPPER($G$26)="SPAN",UPPER($G$26)="RSPAN"),1,0),F29-G29-(1+H29)*$F$26-1)</calculatedColumnFormula>
    </tableColumn>
    <tableColumn id="12" xr3:uid="{B80135C7-C94A-4B44-9E4B-48954B72D5AF}" name="MONITORING ip"/>
    <tableColumn id="13" xr3:uid="{6276821C-D0EE-4B14-B6BC-18D8A797F851}" name="tacacs_syntax"/>
    <tableColumn id="14" xr3:uid="{70523AF6-8AB5-49B4-900B-C6625C0630A7}" name="radius_syntax"/>
    <tableColumn id="15" xr3:uid="{88E12463-A527-4624-8BF2-CAD84A51C21F}" name="dot1x_syntax"/>
    <tableColumn id="16" xr3:uid="{3111D73C-7819-40B1-960B-F86A1AF480F0}" name="secret_type"/>
    <tableColumn id="17" xr3:uid="{27C0B5EF-CE01-41D7-8229-163F942BEC21}" name="trunk_encapsulation"/>
  </tableColumns>
  <tableStyleInfo name="TableStyleLight1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95D07F-8F14-4367-9CDF-18F3658439E7}" name="Tabell621417" displayName="Tabell621417" ref="A4:K8">
  <tableColumns count="11">
    <tableColumn id="1" xr3:uid="{384AC9DB-C826-45C1-821C-E57C417EE87F}" name="vrf"/>
    <tableColumn id="2" xr3:uid="{90F3CD07-780D-4875-A850-EAFCF3EE494F}" name="vlan"/>
    <tableColumn id="3" xr3:uid="{12502B20-F565-40D6-B3B3-45F79DB2A37B}" name="interface"/>
    <tableColumn id="4" xr3:uid="{484C4C38-4E74-40AB-950E-3E4D903540F6}" name="nett id">
      <calculatedColumnFormula>10&amp;"."&amp;$A$2&amp;"."&amp;B5&amp;".0"</calculatedColumnFormula>
    </tableColumn>
    <tableColumn id="5" xr3:uid="{6A83FE40-5341-406B-835C-99DA624D36DB}" name="gateway">
      <calculatedColumnFormula>10&amp;"."&amp;$A$2&amp;"."&amp;B5&amp;".1"</calculatedColumnFormula>
    </tableColumn>
    <tableColumn id="6" xr3:uid="{A802C697-FC3F-4D7F-882D-434FFFCAB3DD}" name="mask"/>
    <tableColumn id="7" xr3:uid="{AD7D2426-F2FC-41CE-A62F-ECB9490D07DE}" name="address min">
      <calculatedColumnFormula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calculatedColumnFormula>
    </tableColumn>
    <tableColumn id="8" xr3:uid="{36B80577-2EA1-4CA8-A93B-C744BC10CA3F}" name="address max">
      <calculatedColumnFormula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calculatedColumnFormula>
    </tableColumn>
    <tableColumn id="9" xr3:uid="{452A6983-A082-48CF-A21D-B00E01BAEC99}" name="antall-res" dataDxfId="111"/>
    <tableColumn id="10" xr3:uid="{7CD1C757-50B2-45D7-B177-2458072FF692}" name=" "/>
    <tableColumn id="11" xr3:uid="{585E7ADE-9615-485F-8639-F60F08837CB8}" name="pri-1-10"/>
  </tableColumns>
  <tableStyleInfo name="TableStyleLight1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DDB9FD-3F40-4535-A424-3940ECCA451C}" name="Tabell771518" displayName="Tabell771518" ref="A11:C15">
  <tableColumns count="3">
    <tableColumn id="1" xr3:uid="{0D515D14-BE04-4C0D-9DF8-C59F117A1AB2}" name="vrf"/>
    <tableColumn id="3" xr3:uid="{79C172D7-5EEE-4026-9E85-C40968702894}" name="loopback"/>
    <tableColumn id="4" xr3:uid="{4ECDBDF9-7E62-4B0D-9B0C-A4EE2AE0B9E0}" name="laddr">
      <calculatedColumnFormula>$A$2&amp;"."&amp;$A$2&amp;"."&amp;$A$2&amp;"."&amp;B12</calculatedColumnFormula>
    </tableColumn>
  </tableColumns>
  <tableStyleInfo name="TableStyleLight1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C000000}" name="FlowPolicyTable" displayName="FlowPolicyTable" ref="A1:E14" totalsRowShown="0">
  <tableColumns count="5">
    <tableColumn id="1" xr3:uid="{00000000-0010-0000-0C00-000001000000}" name="source"/>
    <tableColumn id="2" xr3:uid="{00000000-0010-0000-0C00-000002000000}" name="destination"/>
    <tableColumn id="3" xr3:uid="{00000000-0010-0000-0C00-000003000000}" name="protocol"/>
    <tableColumn id="4" xr3:uid="{00000000-0010-0000-0C00-000004000000}" name="destination_port"/>
    <tableColumn id="5" xr3:uid="{00000000-0010-0000-0C00-000005000000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4"/>
  <sheetViews>
    <sheetView zoomScale="55" zoomScaleNormal="55" workbookViewId="0">
      <selection activeCell="L14" sqref="L14"/>
    </sheetView>
  </sheetViews>
  <sheetFormatPr defaultColWidth="12.5546875" defaultRowHeight="13.2" x14ac:dyDescent="0.25"/>
  <cols>
    <col min="1" max="1" width="18.109375" bestFit="1" customWidth="1"/>
    <col min="2" max="2" width="15.33203125" customWidth="1"/>
    <col min="3" max="3" width="72.33203125" bestFit="1" customWidth="1"/>
    <col min="4" max="4" width="12.33203125" customWidth="1"/>
    <col min="5" max="5" width="72.33203125" bestFit="1" customWidth="1"/>
    <col min="6" max="6" width="18.5546875" bestFit="1" customWidth="1"/>
    <col min="7" max="7" width="72.33203125" bestFit="1" customWidth="1"/>
    <col min="8" max="8" width="18.88671875" bestFit="1" customWidth="1"/>
    <col min="9" max="9" width="22.77734375" bestFit="1" customWidth="1"/>
    <col min="10" max="10" width="13.88671875" customWidth="1"/>
    <col min="11" max="11" width="20.44140625" bestFit="1" customWidth="1"/>
    <col min="12" max="16" width="18" customWidth="1"/>
    <col min="17" max="17" width="23.109375" bestFit="1" customWidth="1"/>
    <col min="18" max="24" width="18" customWidth="1"/>
    <col min="25" max="25" width="23.109375" bestFit="1" customWidth="1"/>
    <col min="26" max="26" width="16.44140625" bestFit="1" customWidth="1"/>
    <col min="27" max="27" width="15.33203125" bestFit="1" customWidth="1"/>
    <col min="28" max="28" width="10.6640625" bestFit="1" customWidth="1"/>
    <col min="29" max="29" width="20.6640625" bestFit="1" customWidth="1"/>
    <col min="30" max="30" width="20.109375" bestFit="1" customWidth="1"/>
  </cols>
  <sheetData>
    <row r="1" spans="1:30" ht="27.9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1" t="s">
        <v>7</v>
      </c>
      <c r="I1" s="23" t="s">
        <v>8</v>
      </c>
      <c r="J1" s="23" t="s">
        <v>9</v>
      </c>
      <c r="K1" s="23" t="s">
        <v>10</v>
      </c>
      <c r="L1" s="21" t="s">
        <v>11</v>
      </c>
      <c r="M1" s="21" t="s">
        <v>12</v>
      </c>
      <c r="N1" s="22" t="s">
        <v>13</v>
      </c>
      <c r="O1" s="21" t="s">
        <v>14</v>
      </c>
      <c r="P1" s="21" t="s">
        <v>15</v>
      </c>
      <c r="Q1" s="21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6" t="s">
        <v>114</v>
      </c>
      <c r="AA1" s="36" t="s">
        <v>115</v>
      </c>
      <c r="AB1" s="36" t="s">
        <v>116</v>
      </c>
      <c r="AC1" s="36" t="s">
        <v>117</v>
      </c>
      <c r="AD1" s="36" t="s">
        <v>118</v>
      </c>
    </row>
    <row r="2" spans="1:30" ht="15.75" customHeight="1" x14ac:dyDescent="0.25">
      <c r="A2" s="2">
        <v>1</v>
      </c>
      <c r="B2" s="2" t="s">
        <v>25</v>
      </c>
      <c r="C2" s="2" t="str">
        <f>A2&amp;"."&amp;A2&amp;"."&amp;A2&amp;".0"</f>
        <v>1.1.1.0</v>
      </c>
      <c r="D2" s="2" t="s">
        <v>26</v>
      </c>
      <c r="E2" s="2" t="s">
        <v>27</v>
      </c>
      <c r="F2" s="2" t="s">
        <v>125</v>
      </c>
      <c r="G2" s="2" t="s">
        <v>27</v>
      </c>
      <c r="H2" s="35">
        <v>200</v>
      </c>
      <c r="I2" s="2" t="s">
        <v>28</v>
      </c>
      <c r="J2" s="28" t="b">
        <v>1</v>
      </c>
      <c r="K2" s="2" t="s">
        <v>123</v>
      </c>
      <c r="L2" s="19" t="s">
        <v>29</v>
      </c>
      <c r="M2" s="19" t="s">
        <v>29</v>
      </c>
      <c r="N2" s="19" t="s">
        <v>30</v>
      </c>
      <c r="O2" s="19" t="s">
        <v>29</v>
      </c>
      <c r="P2" s="19" t="s">
        <v>31</v>
      </c>
      <c r="Q2" s="19">
        <v>3</v>
      </c>
      <c r="R2" s="2" t="s">
        <v>32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  <c r="Y2" s="2" t="s">
        <v>37</v>
      </c>
      <c r="Z2" s="37" t="b">
        <v>1</v>
      </c>
      <c r="AA2" s="38" t="s">
        <v>29</v>
      </c>
      <c r="AB2" s="38" t="s">
        <v>119</v>
      </c>
      <c r="AC2" s="38" t="s">
        <v>120</v>
      </c>
      <c r="AD2" s="38" t="s">
        <v>121</v>
      </c>
    </row>
    <row r="3" spans="1:30" ht="15.75" customHeight="1" x14ac:dyDescent="0.25">
      <c r="A3" s="4"/>
      <c r="B3" s="5"/>
      <c r="C3" s="4"/>
      <c r="D3" s="4"/>
      <c r="E3" s="4"/>
      <c r="F3" s="4"/>
      <c r="G3" s="4"/>
      <c r="H3" s="4"/>
      <c r="J3" s="25"/>
      <c r="K3" s="25"/>
    </row>
    <row r="4" spans="1:30" ht="15.75" customHeight="1" x14ac:dyDescent="0.2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27" t="s">
        <v>47</v>
      </c>
      <c r="K4" s="27" t="s">
        <v>48</v>
      </c>
    </row>
    <row r="5" spans="1:30" ht="15.75" customHeight="1" x14ac:dyDescent="0.25">
      <c r="A5" s="7" t="s">
        <v>49</v>
      </c>
      <c r="B5" s="8">
        <v>10</v>
      </c>
      <c r="C5" s="7">
        <v>0</v>
      </c>
      <c r="D5" s="7" t="str">
        <f>10&amp;"."&amp;$A$2&amp;"."&amp;B5&amp;".0"</f>
        <v>10.1.10.0</v>
      </c>
      <c r="E5" s="7" t="str">
        <f>10&amp;"."&amp;$A$2&amp;"."&amp;B5&amp;".1"</f>
        <v>10.1.10.1</v>
      </c>
      <c r="F5" s="7" t="s">
        <v>50</v>
      </c>
      <c r="G5" s="7" t="str" cm="1">
        <f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f>
        <v>10.1.10.1</v>
      </c>
      <c r="H5" s="7" t="str" cm="1">
        <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f>
        <v>10.1.10.254</v>
      </c>
      <c r="I5" s="7">
        <v>40</v>
      </c>
      <c r="J5" s="9">
        <v>21</v>
      </c>
      <c r="K5" s="9">
        <v>5</v>
      </c>
    </row>
    <row r="6" spans="1:30" ht="15.75" customHeight="1" x14ac:dyDescent="0.25">
      <c r="A6" s="7" t="s">
        <v>51</v>
      </c>
      <c r="B6" s="8">
        <v>20</v>
      </c>
      <c r="C6" s="7">
        <v>0</v>
      </c>
      <c r="D6" s="7" t="str">
        <f>10&amp;"."&amp;$A$2&amp;"."&amp;B6&amp;".0"</f>
        <v>10.1.20.0</v>
      </c>
      <c r="E6" s="7" t="str">
        <f t="shared" ref="E6:E7" si="0">10&amp;"."&amp;$A$2&amp;"."&amp;B6&amp;".1"</f>
        <v>10.1.20.1</v>
      </c>
      <c r="F6" s="7" t="s">
        <v>50</v>
      </c>
      <c r="G6" s="7" t="str">
        <f t="shared" ref="G6:G7" si="1">VALUE(LEFT(D6,FIND(".",D6)-1))&amp;"."&amp;VALUE(MID(D6,FIND(".",D6)+1,FIND(".",D6,FIND(".",D6)+1)-FIND(".",D6)-1))&amp;"."&amp;VALUE(MID(D6,FIND(".",D6,FIND(".",D6)+1)+1,FIND(".",D6,FIND(".",D6,FIND(".",D6)+1)+1)-FIND(".",D6,FIND(".",D6)+1)-1))&amp;"."&amp;(VALUE(RIGHT(D6,LEN(D6)-FIND(".",D6,FIND(".",D6,FIND(".",D6)+1)+1)))+1)</f>
        <v>10.1.20.1</v>
      </c>
      <c r="H6" s="7" t="str" cm="1">
        <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f>
        <v>10.1.20.254</v>
      </c>
      <c r="I6" s="7">
        <v>40</v>
      </c>
      <c r="J6" s="9">
        <v>11</v>
      </c>
      <c r="K6" s="9">
        <v>2</v>
      </c>
    </row>
    <row r="7" spans="1:30" ht="15.75" customHeight="1" x14ac:dyDescent="0.25">
      <c r="A7" s="7" t="s">
        <v>52</v>
      </c>
      <c r="B7" s="8">
        <v>30</v>
      </c>
      <c r="C7" s="7">
        <v>0</v>
      </c>
      <c r="D7" s="7" t="str">
        <f>10&amp;"."&amp;$A$2&amp;"."&amp;B7&amp;".0"</f>
        <v>10.1.30.0</v>
      </c>
      <c r="E7" s="7" t="str">
        <f t="shared" si="0"/>
        <v>10.1.30.1</v>
      </c>
      <c r="F7" s="7" t="s">
        <v>50</v>
      </c>
      <c r="G7" s="7" t="str">
        <f t="shared" si="1"/>
        <v>10.1.30.1</v>
      </c>
      <c r="H7" s="7" t="str" cm="1">
        <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f>
        <v>10.1.30.254</v>
      </c>
      <c r="I7" s="7">
        <v>40</v>
      </c>
      <c r="J7">
        <v>42</v>
      </c>
      <c r="K7">
        <v>7</v>
      </c>
    </row>
    <row r="8" spans="1:30" ht="15.75" customHeight="1" x14ac:dyDescent="0.25">
      <c r="A8" s="7" t="s">
        <v>53</v>
      </c>
      <c r="B8" s="8">
        <v>40</v>
      </c>
      <c r="C8" s="7">
        <v>0</v>
      </c>
      <c r="D8" s="7" t="str">
        <f>10&amp;"."&amp;$A$2&amp;"."&amp;B8&amp;".0"</f>
        <v>10.1.40.0</v>
      </c>
      <c r="E8" s="7" t="str">
        <f t="shared" ref="E8" si="2">10&amp;"."&amp;$A$2&amp;"."&amp;B8&amp;".1"</f>
        <v>10.1.40.1</v>
      </c>
      <c r="F8" s="7" t="s">
        <v>50</v>
      </c>
      <c r="G8" s="7" t="str">
        <f t="shared" ref="G8" si="3">VALUE(LEFT(D8,FIND(".",D8)-1))&amp;"."&amp;VALUE(MID(D8,FIND(".",D8)+1,FIND(".",D8,FIND(".",D8)+1)-FIND(".",D8)-1))&amp;"."&amp;VALUE(MID(D8,FIND(".",D8,FIND(".",D8)+1)+1,FIND(".",D8,FIND(".",D8,FIND(".",D8)+1)+1)-FIND(".",D8,FIND(".",D8)+1)-1))&amp;"."&amp;(VALUE(RIGHT(D8,LEN(D8)-FIND(".",D8,FIND(".",D8,FIND(".",D8)+1)+1)))+1)</f>
        <v>10.1.40.1</v>
      </c>
      <c r="H8" s="7" t="str">
        <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f>
        <v>10.1.40.254</v>
      </c>
      <c r="I8" s="7">
        <v>40</v>
      </c>
      <c r="J8">
        <v>41</v>
      </c>
      <c r="K8">
        <v>10</v>
      </c>
    </row>
    <row r="9" spans="1:30" ht="15.75" customHeight="1" x14ac:dyDescent="0.25">
      <c r="A9" s="45" t="s">
        <v>54</v>
      </c>
      <c r="B9" s="8">
        <v>50</v>
      </c>
      <c r="C9" s="7">
        <v>0</v>
      </c>
      <c r="D9" s="49" t="str">
        <f>10&amp;"."&amp;$A$2&amp;"."&amp;B9&amp;".0"</f>
        <v>10.1.50.0</v>
      </c>
      <c r="E9" s="7" t="str">
        <f t="shared" ref="E9" si="4">10&amp;"."&amp;$A$2&amp;"."&amp;B9&amp;".1"</f>
        <v>10.1.50.1</v>
      </c>
      <c r="F9" s="7" t="s">
        <v>50</v>
      </c>
      <c r="G9" s="7" t="str">
        <f t="shared" ref="G9" si="5">VALUE(LEFT(D9,FIND(".",D9)-1))&amp;"."&amp;VALUE(MID(D9,FIND(".",D9)+1,FIND(".",D9,FIND(".",D9)+1)-FIND(".",D9)-1))&amp;"."&amp;VALUE(MID(D9,FIND(".",D9,FIND(".",D9)+1)+1,FIND(".",D9,FIND(".",D9,FIND(".",D9)+1)+1)-FIND(".",D9,FIND(".",D9)+1)-1))&amp;"."&amp;(VALUE(RIGHT(D9,LEN(D9)-FIND(".",D9,FIND(".",D9,FIND(".",D9)+1)+1)))+1)</f>
        <v>10.1.50.1</v>
      </c>
      <c r="H9" s="49" t="str">
        <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f>
        <v>10.1.50.254</v>
      </c>
      <c r="I9" s="45">
        <v>40</v>
      </c>
      <c r="J9">
        <v>41</v>
      </c>
      <c r="K9">
        <v>10</v>
      </c>
    </row>
    <row r="10" spans="1:30" ht="15.75" customHeight="1" x14ac:dyDescent="0.25">
      <c r="A10" s="3"/>
      <c r="B10" s="3"/>
    </row>
    <row r="11" spans="1:30" ht="15.75" customHeight="1" x14ac:dyDescent="0.25">
      <c r="A11" s="6" t="s">
        <v>38</v>
      </c>
      <c r="B11" s="6" t="s">
        <v>55</v>
      </c>
      <c r="C11" s="6" t="s">
        <v>56</v>
      </c>
    </row>
    <row r="12" spans="1:30" ht="15.75" customHeight="1" x14ac:dyDescent="0.25">
      <c r="A12" s="7" t="s">
        <v>49</v>
      </c>
      <c r="B12" s="7">
        <v>10</v>
      </c>
      <c r="C12" s="7" t="str">
        <f>$A$2&amp;"."&amp;$A$2&amp;"."&amp;$A$2&amp;"."&amp;B12</f>
        <v>1.1.1.10</v>
      </c>
    </row>
    <row r="13" spans="1:30" ht="15.75" customHeight="1" x14ac:dyDescent="0.25">
      <c r="A13" s="7" t="s">
        <v>51</v>
      </c>
      <c r="B13" s="7">
        <v>20</v>
      </c>
      <c r="C13" s="7" t="str">
        <f t="shared" ref="C13:C15" si="6">$A$2&amp;"."&amp;$A$2&amp;"."&amp;$A$2&amp;"."&amp;B13</f>
        <v>1.1.1.20</v>
      </c>
    </row>
    <row r="14" spans="1:30" ht="15.75" customHeight="1" x14ac:dyDescent="0.25">
      <c r="A14" s="7" t="s">
        <v>52</v>
      </c>
      <c r="B14" s="7">
        <v>30</v>
      </c>
      <c r="C14" s="7" t="str">
        <f t="shared" si="6"/>
        <v>1.1.1.30</v>
      </c>
    </row>
    <row r="15" spans="1:30" ht="15.75" customHeight="1" x14ac:dyDescent="0.25">
      <c r="A15" s="7" t="s">
        <v>53</v>
      </c>
      <c r="B15" s="7">
        <v>40</v>
      </c>
      <c r="C15" s="7" t="str">
        <f t="shared" si="6"/>
        <v>1.1.1.40</v>
      </c>
    </row>
    <row r="16" spans="1:30" ht="15.75" customHeight="1" x14ac:dyDescent="0.25">
      <c r="A16" s="42" t="s">
        <v>54</v>
      </c>
      <c r="B16" s="7">
        <v>50</v>
      </c>
      <c r="C16" s="7" t="str">
        <f t="shared" ref="C16" si="7">$A$2&amp;"."&amp;$A$2&amp;"."&amp;$A$2&amp;"."&amp;B16</f>
        <v>1.1.1.50</v>
      </c>
    </row>
    <row r="17" spans="1:17" ht="15.75" customHeight="1" x14ac:dyDescent="0.25"/>
    <row r="18" spans="1:17" ht="15.75" customHeight="1" x14ac:dyDescent="0.25">
      <c r="A18" s="6" t="s">
        <v>57</v>
      </c>
      <c r="B18" s="6" t="s">
        <v>38</v>
      </c>
      <c r="C18" s="6" t="s">
        <v>58</v>
      </c>
      <c r="D18" s="6" t="s">
        <v>43</v>
      </c>
      <c r="E18" s="6" t="s">
        <v>59</v>
      </c>
      <c r="F18" s="6" t="s">
        <v>60</v>
      </c>
      <c r="G18" s="6" t="s">
        <v>61</v>
      </c>
      <c r="H18" s="1" t="s">
        <v>62</v>
      </c>
      <c r="I18" s="1" t="s">
        <v>63</v>
      </c>
      <c r="J18" s="1" t="s">
        <v>64</v>
      </c>
    </row>
    <row r="19" spans="1:17" ht="15.75" customHeight="1" x14ac:dyDescent="0.25">
      <c r="A19" s="7" t="s">
        <v>65</v>
      </c>
      <c r="B19" s="7" t="s">
        <v>49</v>
      </c>
      <c r="C19" s="7" t="str">
        <f>172&amp;"."&amp;16&amp;"."&amp;H19&amp;"."&amp;$A$2</f>
        <v>172.16.10.1</v>
      </c>
      <c r="D19" s="7" t="s">
        <v>50</v>
      </c>
      <c r="E19" s="7" t="str">
        <f>$C$2</f>
        <v>1.1.1.0</v>
      </c>
      <c r="F19" s="7"/>
      <c r="G19" s="7" t="s">
        <v>66</v>
      </c>
      <c r="H19" s="2">
        <v>10</v>
      </c>
      <c r="I19" s="28" t="b">
        <v>1</v>
      </c>
      <c r="J19" s="2"/>
    </row>
    <row r="20" spans="1:17" ht="15.75" customHeight="1" x14ac:dyDescent="0.25">
      <c r="A20" s="7" t="s">
        <v>67</v>
      </c>
      <c r="B20" s="7" t="s">
        <v>51</v>
      </c>
      <c r="C20" s="7" t="str">
        <f>172&amp;"."&amp;16&amp;"."&amp;H20&amp;"."&amp;$A$2</f>
        <v>172.16.20.1</v>
      </c>
      <c r="D20" s="7" t="s">
        <v>50</v>
      </c>
      <c r="E20" s="7" t="str">
        <f>$C$2</f>
        <v>1.1.1.0</v>
      </c>
      <c r="F20" s="7"/>
      <c r="G20" s="7" t="s">
        <v>66</v>
      </c>
      <c r="H20" s="2">
        <v>20</v>
      </c>
      <c r="I20" s="28" t="b">
        <v>0</v>
      </c>
      <c r="J20" s="2"/>
    </row>
    <row r="21" spans="1:17" ht="15.75" customHeight="1" x14ac:dyDescent="0.25">
      <c r="A21" s="7" t="s">
        <v>68</v>
      </c>
      <c r="B21" s="7" t="s">
        <v>52</v>
      </c>
      <c r="C21" s="7" t="str">
        <f>172&amp;"."&amp;16&amp;"."&amp;H21&amp;"."&amp;$A$2</f>
        <v>172.16.30.1</v>
      </c>
      <c r="D21" s="7" t="s">
        <v>50</v>
      </c>
      <c r="E21" s="7" t="str">
        <f>$C$2</f>
        <v>1.1.1.0</v>
      </c>
      <c r="F21" s="7"/>
      <c r="G21" s="7" t="s">
        <v>66</v>
      </c>
      <c r="H21" s="2">
        <v>30</v>
      </c>
      <c r="I21" s="28" t="b">
        <v>1</v>
      </c>
      <c r="J21" s="2"/>
    </row>
    <row r="22" spans="1:17" ht="15.75" customHeight="1" x14ac:dyDescent="0.25">
      <c r="A22" s="7" t="s">
        <v>69</v>
      </c>
      <c r="B22" s="7" t="s">
        <v>53</v>
      </c>
      <c r="C22" s="7" t="str">
        <f>172&amp;"."&amp;16&amp;"."&amp;H22&amp;"."&amp;$A$2</f>
        <v>172.16.40.1</v>
      </c>
      <c r="D22" s="7" t="s">
        <v>50</v>
      </c>
      <c r="E22" s="7" t="str">
        <f>$C$2</f>
        <v>1.1.1.0</v>
      </c>
      <c r="F22" s="7"/>
      <c r="G22" s="7" t="s">
        <v>66</v>
      </c>
      <c r="H22" s="2">
        <v>40</v>
      </c>
      <c r="I22" s="28" t="b">
        <v>1</v>
      </c>
      <c r="J22" s="2"/>
    </row>
    <row r="23" spans="1:17" ht="15.75" customHeight="1" x14ac:dyDescent="0.25">
      <c r="A23" s="42" t="s">
        <v>132</v>
      </c>
      <c r="B23" s="45" t="s">
        <v>54</v>
      </c>
      <c r="C23" s="49" t="str">
        <f>172&amp;"."&amp;16&amp;"."&amp;H23&amp;"."&amp;$A$2</f>
        <v>172.16.50.1</v>
      </c>
      <c r="D23" s="7" t="s">
        <v>50</v>
      </c>
      <c r="E23" s="49" t="str">
        <f>$C$2</f>
        <v>1.1.1.0</v>
      </c>
      <c r="F23" s="7"/>
      <c r="G23" s="7" t="s">
        <v>66</v>
      </c>
      <c r="H23" s="2">
        <v>50</v>
      </c>
      <c r="I23" s="28" t="b">
        <v>1</v>
      </c>
      <c r="J23" s="2"/>
    </row>
    <row r="24" spans="1:17" ht="15.75" customHeight="1" x14ac:dyDescent="0.25">
      <c r="A24" s="11"/>
      <c r="B24" s="11"/>
      <c r="C24" s="11"/>
      <c r="D24" s="11"/>
      <c r="E24" s="11"/>
      <c r="F24" s="11"/>
      <c r="G24" s="11"/>
    </row>
    <row r="25" spans="1:17" ht="15.75" customHeight="1" x14ac:dyDescent="0.25">
      <c r="A25" s="1" t="s">
        <v>0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70</v>
      </c>
      <c r="G25" s="1" t="s">
        <v>71</v>
      </c>
      <c r="H25" s="1" t="s">
        <v>72</v>
      </c>
      <c r="I25" s="1" t="s">
        <v>7</v>
      </c>
    </row>
    <row r="26" spans="1:17" ht="28.65" customHeight="1" x14ac:dyDescent="0.25">
      <c r="A26" s="2">
        <f>$A$2</f>
        <v>1</v>
      </c>
      <c r="B26" s="2" t="str">
        <f>$D$2</f>
        <v>admin</v>
      </c>
      <c r="C26" s="2" t="str">
        <f>$E$2</f>
        <v>$9$0nNdTjfcaOQFlP$4VgON16XmZXlfGr4BcOzEN7OoRxfPIAcXDQ0afwx67k</v>
      </c>
      <c r="D26" s="2" t="str">
        <f>$F$2</f>
        <v>0 - 15</v>
      </c>
      <c r="E26" s="2" t="str">
        <f>$G$2</f>
        <v>$9$0nNdTjfcaOQFlP$4VgON16XmZXlfGr4BcOzEN7OoRxfPIAcXDQ0afwx67k</v>
      </c>
      <c r="F26" s="2">
        <v>2</v>
      </c>
      <c r="G26" s="2" t="s">
        <v>124</v>
      </c>
      <c r="H26" s="47" t="s">
        <v>127</v>
      </c>
      <c r="I26" s="35" cm="1">
        <f t="array" ref="I26">Tabell5[ISP-VLAN]</f>
        <v>200</v>
      </c>
    </row>
    <row r="27" spans="1:17" ht="15.75" customHeight="1" x14ac:dyDescent="0.25"/>
    <row r="28" spans="1:17" ht="27.9" customHeight="1" x14ac:dyDescent="0.25">
      <c r="A28" s="13" t="s">
        <v>73</v>
      </c>
      <c r="B28" s="13" t="s">
        <v>74</v>
      </c>
      <c r="C28" s="13" t="s">
        <v>75</v>
      </c>
      <c r="D28" s="13" t="s">
        <v>42</v>
      </c>
      <c r="E28" s="13" t="s">
        <v>43</v>
      </c>
      <c r="F28" s="13" t="s">
        <v>76</v>
      </c>
      <c r="G28" s="13" t="s">
        <v>77</v>
      </c>
      <c r="H28" s="13" t="s">
        <v>78</v>
      </c>
      <c r="I28" s="13" t="s">
        <v>79</v>
      </c>
      <c r="J28" s="13" t="s">
        <v>1</v>
      </c>
      <c r="K28" s="13" t="s">
        <v>80</v>
      </c>
      <c r="L28" s="25" t="s">
        <v>81</v>
      </c>
      <c r="M28" s="1" t="s">
        <v>17</v>
      </c>
      <c r="N28" s="1" t="s">
        <v>18</v>
      </c>
      <c r="O28" s="1" t="s">
        <v>19</v>
      </c>
      <c r="P28" s="1" t="s">
        <v>23</v>
      </c>
      <c r="Q28" s="1" t="s">
        <v>24</v>
      </c>
    </row>
    <row r="29" spans="1:17" ht="45" customHeight="1" x14ac:dyDescent="0.25">
      <c r="A29" s="7">
        <f>ROW()-28</f>
        <v>1</v>
      </c>
      <c r="B29" s="7">
        <f>$B$5</f>
        <v>10</v>
      </c>
      <c r="C29" s="7" t="str">
        <f>10&amp;"."&amp;$A$2&amp;"."&amp;$B$5&amp;"."&amp;(A29+1)</f>
        <v>10.1.10.2</v>
      </c>
      <c r="D29" s="7" t="str">
        <f>$E$5</f>
        <v>10.1.10.1</v>
      </c>
      <c r="E29" s="7" t="str">
        <f>$F$5</f>
        <v>255.255.255.0</v>
      </c>
      <c r="F29" s="7">
        <v>25</v>
      </c>
      <c r="G29" s="7">
        <v>1</v>
      </c>
      <c r="H29" s="10">
        <v>0</v>
      </c>
      <c r="I29" s="7" t="s">
        <v>122</v>
      </c>
      <c r="J29" s="2" t="s">
        <v>25</v>
      </c>
      <c r="K29" s="2">
        <f>IF($A29=1,F29-G29-H29*$F$26-2-IF($L$2&lt;&gt;$M$2,1,0)-IF(OR(UPPER($G$26)="SPAN",UPPER($G$26)="ERSPAN",UPPER($G$26)="RSPAN"),1,0),F29-G29-(1+H29)*$F$26-1)</f>
        <v>21</v>
      </c>
      <c r="M29" s="31"/>
      <c r="N29" s="31"/>
      <c r="O29" s="31"/>
      <c r="P29" s="31"/>
      <c r="Q29" s="31"/>
    </row>
    <row r="30" spans="1:17" ht="15.75" customHeight="1" x14ac:dyDescent="0.25">
      <c r="M30" s="31"/>
      <c r="N30" s="31"/>
      <c r="O30" s="31"/>
      <c r="P30" s="31"/>
      <c r="Q30" s="31"/>
    </row>
    <row r="31" spans="1:17" ht="15.75" customHeight="1" x14ac:dyDescent="0.25">
      <c r="M31" s="31"/>
      <c r="N31" s="31"/>
      <c r="O31" s="31"/>
      <c r="P31" s="31"/>
      <c r="Q31" s="31"/>
    </row>
    <row r="32" spans="1:17" ht="15.75" customHeight="1" x14ac:dyDescent="0.25">
      <c r="M32" s="31"/>
      <c r="N32" s="31"/>
      <c r="O32" s="31"/>
      <c r="P32" s="31"/>
      <c r="Q32" s="31"/>
    </row>
    <row r="33" spans="13:17" ht="15.75" customHeight="1" x14ac:dyDescent="0.25">
      <c r="M33" s="31"/>
      <c r="N33" s="31"/>
      <c r="O33" s="31"/>
      <c r="P33" s="31"/>
      <c r="Q33" s="31"/>
    </row>
    <row r="34" spans="13:17" ht="15.75" customHeight="1" x14ac:dyDescent="0.25">
      <c r="M34" s="31"/>
      <c r="N34" s="31"/>
      <c r="O34" s="31"/>
      <c r="P34" s="31"/>
      <c r="Q34" s="31"/>
    </row>
    <row r="35" spans="13:17" ht="15.75" customHeight="1" x14ac:dyDescent="0.25">
      <c r="M35" s="31"/>
      <c r="N35" s="31"/>
      <c r="O35" s="31"/>
      <c r="P35" s="31"/>
      <c r="Q35" s="31"/>
    </row>
    <row r="36" spans="13:17" ht="15.75" customHeight="1" x14ac:dyDescent="0.25">
      <c r="M36" s="31"/>
      <c r="N36" s="31"/>
      <c r="O36" s="31"/>
      <c r="P36" s="31"/>
      <c r="Q36" s="31"/>
    </row>
    <row r="37" spans="13:17" ht="15.75" customHeight="1" x14ac:dyDescent="0.25">
      <c r="M37" s="31"/>
      <c r="N37" s="31"/>
      <c r="O37" s="31"/>
      <c r="P37" s="31"/>
      <c r="Q37" s="31"/>
    </row>
    <row r="38" spans="13:17" ht="15.75" customHeight="1" x14ac:dyDescent="0.25">
      <c r="M38" s="31"/>
      <c r="N38" s="31"/>
      <c r="O38" s="31"/>
      <c r="P38" s="31"/>
      <c r="Q38" s="31"/>
    </row>
    <row r="39" spans="13:17" ht="15.75" customHeight="1" x14ac:dyDescent="0.25">
      <c r="M39" s="31"/>
      <c r="N39" s="31"/>
      <c r="O39" s="31"/>
      <c r="P39" s="31"/>
      <c r="Q39" s="31"/>
    </row>
    <row r="40" spans="13:17" ht="15.75" customHeight="1" x14ac:dyDescent="0.25">
      <c r="M40" s="31"/>
      <c r="N40" s="31"/>
      <c r="O40" s="31"/>
      <c r="P40" s="31"/>
      <c r="Q40" s="31"/>
    </row>
    <row r="41" spans="13:17" ht="15.75" customHeight="1" x14ac:dyDescent="0.25">
      <c r="M41" s="31"/>
      <c r="N41" s="31"/>
      <c r="O41" s="31"/>
      <c r="P41" s="31"/>
      <c r="Q41" s="31"/>
    </row>
    <row r="42" spans="13:17" ht="15.75" customHeight="1" x14ac:dyDescent="0.25">
      <c r="M42" s="31"/>
      <c r="N42" s="31"/>
      <c r="O42" s="31"/>
      <c r="P42" s="31"/>
      <c r="Q42" s="31"/>
    </row>
    <row r="43" spans="13:17" ht="15.75" customHeight="1" x14ac:dyDescent="0.25">
      <c r="M43" s="31"/>
      <c r="N43" s="31"/>
      <c r="O43" s="31"/>
      <c r="P43" s="31"/>
      <c r="Q43" s="31"/>
    </row>
    <row r="44" spans="13:17" ht="15.75" customHeight="1" x14ac:dyDescent="0.25">
      <c r="M44" s="31"/>
      <c r="N44" s="31"/>
      <c r="O44" s="31"/>
      <c r="P44" s="31"/>
      <c r="Q44" s="31"/>
    </row>
    <row r="45" spans="13:17" ht="15.75" customHeight="1" x14ac:dyDescent="0.25">
      <c r="M45" s="31"/>
      <c r="N45" s="31"/>
      <c r="O45" s="31"/>
      <c r="P45" s="31"/>
      <c r="Q45" s="31"/>
    </row>
    <row r="46" spans="13:17" ht="15.75" customHeight="1" x14ac:dyDescent="0.25">
      <c r="M46" s="31"/>
      <c r="N46" s="31"/>
      <c r="O46" s="31"/>
      <c r="P46" s="31"/>
      <c r="Q46" s="31"/>
    </row>
    <row r="47" spans="13:17" ht="15.75" customHeight="1" x14ac:dyDescent="0.25">
      <c r="M47" s="31"/>
      <c r="N47" s="31"/>
      <c r="O47" s="31"/>
      <c r="P47" s="31"/>
      <c r="Q47" s="31"/>
    </row>
    <row r="48" spans="13:17" ht="15.75" customHeight="1" x14ac:dyDescent="0.25">
      <c r="M48" s="31"/>
      <c r="N48" s="31"/>
      <c r="O48" s="31"/>
      <c r="P48" s="31"/>
      <c r="Q48" s="31"/>
    </row>
    <row r="49" spans="13:17" ht="15.75" customHeight="1" x14ac:dyDescent="0.25">
      <c r="M49" s="31"/>
      <c r="N49" s="31"/>
      <c r="O49" s="31"/>
      <c r="P49" s="31"/>
      <c r="Q49" s="31"/>
    </row>
    <row r="50" spans="13:17" ht="15.75" customHeight="1" x14ac:dyDescent="0.25">
      <c r="M50" s="31"/>
      <c r="N50" s="31"/>
      <c r="O50" s="31"/>
      <c r="P50" s="31"/>
      <c r="Q50" s="31"/>
    </row>
    <row r="51" spans="13:17" ht="15.75" customHeight="1" x14ac:dyDescent="0.25">
      <c r="M51" s="31"/>
      <c r="N51" s="31"/>
      <c r="O51" s="31"/>
      <c r="P51" s="31"/>
      <c r="Q51" s="31"/>
    </row>
    <row r="52" spans="13:17" ht="15.75" customHeight="1" x14ac:dyDescent="0.25">
      <c r="M52" s="31"/>
      <c r="N52" s="31"/>
      <c r="O52" s="31"/>
      <c r="P52" s="31"/>
      <c r="Q52" s="31"/>
    </row>
    <row r="53" spans="13:17" ht="15.75" customHeight="1" x14ac:dyDescent="0.25">
      <c r="M53" s="31"/>
      <c r="N53" s="31"/>
      <c r="O53" s="31"/>
      <c r="P53" s="31"/>
      <c r="Q53" s="31"/>
    </row>
    <row r="54" spans="13:17" ht="15.75" customHeight="1" x14ac:dyDescent="0.25">
      <c r="M54" s="31"/>
      <c r="N54" s="31"/>
      <c r="O54" s="31"/>
      <c r="P54" s="31"/>
      <c r="Q54" s="31"/>
    </row>
    <row r="55" spans="13:17" ht="15.75" customHeight="1" x14ac:dyDescent="0.25">
      <c r="M55" s="31"/>
      <c r="N55" s="31"/>
      <c r="O55" s="31"/>
      <c r="P55" s="31"/>
      <c r="Q55" s="31"/>
    </row>
    <row r="56" spans="13:17" ht="15.75" customHeight="1" x14ac:dyDescent="0.25">
      <c r="M56" s="31"/>
      <c r="N56" s="31"/>
      <c r="O56" s="31"/>
      <c r="P56" s="31"/>
      <c r="Q56" s="31"/>
    </row>
    <row r="57" spans="13:17" ht="15.75" customHeight="1" x14ac:dyDescent="0.25">
      <c r="M57" s="31"/>
      <c r="N57" s="31"/>
      <c r="O57" s="31"/>
      <c r="P57" s="31"/>
      <c r="Q57" s="31"/>
    </row>
    <row r="58" spans="13:17" ht="15.75" customHeight="1" x14ac:dyDescent="0.25">
      <c r="M58" s="31"/>
      <c r="N58" s="31"/>
      <c r="O58" s="31"/>
      <c r="P58" s="31"/>
      <c r="Q58" s="31"/>
    </row>
    <row r="59" spans="13:17" ht="15.75" customHeight="1" x14ac:dyDescent="0.25">
      <c r="M59" s="31"/>
      <c r="N59" s="31"/>
      <c r="O59" s="31"/>
      <c r="P59" s="31"/>
      <c r="Q59" s="31"/>
    </row>
    <row r="60" spans="13:17" ht="15.75" customHeight="1" x14ac:dyDescent="0.25">
      <c r="M60" s="31"/>
      <c r="N60" s="31"/>
      <c r="O60" s="31"/>
      <c r="P60" s="31"/>
      <c r="Q60" s="31"/>
    </row>
    <row r="61" spans="13:17" ht="15.75" customHeight="1" x14ac:dyDescent="0.25"/>
    <row r="62" spans="13:17" ht="15.75" customHeight="1" x14ac:dyDescent="0.25"/>
    <row r="63" spans="13:17" ht="15.75" customHeight="1" x14ac:dyDescent="0.25"/>
    <row r="64" spans="13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dataValidations count="10">
    <dataValidation type="list" sqref="G26" xr:uid="{00000000-0002-0000-0000-000000000000}">
      <formula1>"SPAN,RSPAN,ERSPAN"</formula1>
    </dataValidation>
    <dataValidation type="custom" allowBlank="1" showInputMessage="1" showErrorMessage="1" sqref="I29" xr:uid="{00000000-0002-0000-0000-000001000000}">
      <formula1>IF(I29="",TRUE,SUM(--_xlfn.TEXTAFTER(_xlfn.TEXTSPLIT(I29,"-"),"."))&lt;=K29)</formula1>
    </dataValidation>
    <dataValidation type="list" sqref="N2" xr:uid="{00000000-0002-0000-0000-000002000000}">
      <formula1>"OFF,STRICT,LOOSE"</formula1>
    </dataValidation>
    <dataValidation type="list" sqref="Q2" xr:uid="{00000000-0002-0000-0000-000003000000}">
      <formula1>"2,3"</formula1>
    </dataValidation>
    <dataValidation type="list" sqref="M29:N60 V2 R2:S2" xr:uid="{00000000-0002-0000-0000-000004000000}">
      <formula1>"OLD,NEW"</formula1>
    </dataValidation>
    <dataValidation type="list" sqref="T2 O29:O60" xr:uid="{00000000-0002-0000-0000-000005000000}">
      <formula1>"LEGACY,AUTH,ACCESS_SESSION"</formula1>
    </dataValidation>
    <dataValidation type="list" sqref="U2" xr:uid="{00000000-0002-0000-0000-000006000000}">
      <formula1>"CLASSIC,NAMED"</formula1>
    </dataValidation>
    <dataValidation type="list" sqref="W2" xr:uid="{00000000-0002-0000-0000-000007000000}">
      <formula1>"IKEV1,IKEV2"</formula1>
    </dataValidation>
    <dataValidation type="list" sqref="X2 P29:P60" xr:uid="{00000000-0002-0000-0000-000008000000}">
      <formula1>"AUTO,5,8,9"</formula1>
    </dataValidation>
    <dataValidation type="list" sqref="Y2 Q29:Q60" xr:uid="{00000000-0002-0000-0000-000009000000}">
      <formula1>"AUTO,DOT1Q_CMD,NO_CMD"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DC77-8BBB-4908-955E-B9316A6BE4D3}">
  <dimension ref="A1:AA997"/>
  <sheetViews>
    <sheetView tabSelected="1" zoomScale="70" zoomScaleNormal="70" workbookViewId="0">
      <selection activeCell="E31" sqref="E31"/>
    </sheetView>
  </sheetViews>
  <sheetFormatPr defaultColWidth="12.5546875" defaultRowHeight="13.8" x14ac:dyDescent="0.25"/>
  <cols>
    <col min="1" max="1" width="15.44140625" style="12" customWidth="1"/>
    <col min="2" max="2" width="14.33203125" style="12" customWidth="1"/>
    <col min="3" max="3" width="75.88671875" style="12" customWidth="1"/>
    <col min="4" max="4" width="14.33203125" style="12" customWidth="1"/>
    <col min="5" max="5" width="75.88671875" style="12" customWidth="1"/>
    <col min="6" max="6" width="16.88671875" style="12" customWidth="1"/>
    <col min="7" max="7" width="75.88671875" style="12" customWidth="1"/>
    <col min="8" max="8" width="15.5546875" style="12" customWidth="1"/>
    <col min="9" max="9" width="15.21875" style="12" bestFit="1" customWidth="1"/>
    <col min="10" max="10" width="16.109375" style="12" customWidth="1"/>
    <col min="11" max="11" width="16.88671875" style="12" customWidth="1"/>
    <col min="12" max="12" width="15.44140625" customWidth="1"/>
    <col min="13" max="14" width="18" style="12" customWidth="1"/>
    <col min="15" max="16" width="18" customWidth="1"/>
    <col min="17" max="17" width="19.5546875" customWidth="1"/>
    <col min="18" max="21" width="18" customWidth="1"/>
    <col min="22" max="22" width="19.5546875" bestFit="1" customWidth="1"/>
    <col min="23" max="23" width="14.109375" style="12" customWidth="1"/>
    <col min="24" max="24" width="13.44140625" customWidth="1"/>
    <col min="25" max="25" width="9.44140625" customWidth="1"/>
    <col min="26" max="27" width="19" customWidth="1"/>
  </cols>
  <sheetData>
    <row r="1" spans="1:27" ht="27.9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8</v>
      </c>
      <c r="I1" s="24" t="s">
        <v>10</v>
      </c>
      <c r="J1" s="21" t="s">
        <v>11</v>
      </c>
      <c r="K1" s="21" t="s">
        <v>12</v>
      </c>
      <c r="L1" s="22" t="s">
        <v>13</v>
      </c>
      <c r="M1" s="22" t="s">
        <v>14</v>
      </c>
      <c r="N1" s="22" t="s">
        <v>15</v>
      </c>
      <c r="O1" s="33" t="s">
        <v>17</v>
      </c>
      <c r="P1" s="33" t="s">
        <v>18</v>
      </c>
      <c r="Q1" s="33" t="s">
        <v>19</v>
      </c>
      <c r="R1" s="33" t="s">
        <v>20</v>
      </c>
      <c r="S1" s="33" t="s">
        <v>21</v>
      </c>
      <c r="T1" s="33" t="s">
        <v>22</v>
      </c>
      <c r="U1" s="33" t="s">
        <v>23</v>
      </c>
      <c r="V1" s="33" t="s">
        <v>24</v>
      </c>
      <c r="W1" s="33" t="s">
        <v>114</v>
      </c>
      <c r="X1" s="33" t="s">
        <v>115</v>
      </c>
      <c r="Y1" s="33" t="s">
        <v>116</v>
      </c>
      <c r="Z1" s="33" t="s">
        <v>117</v>
      </c>
      <c r="AA1" s="33" t="s">
        <v>118</v>
      </c>
    </row>
    <row r="2" spans="1:27" ht="15.75" customHeight="1" x14ac:dyDescent="0.25">
      <c r="A2" s="12">
        <v>2</v>
      </c>
      <c r="B2" s="12" t="s">
        <v>25</v>
      </c>
      <c r="C2" s="12" t="str">
        <f>A2&amp;"."&amp;A2&amp;"."&amp;A2&amp;".0"</f>
        <v>2.2.2.0</v>
      </c>
      <c r="D2" s="12" t="s">
        <v>26</v>
      </c>
      <c r="E2" s="12" t="s">
        <v>27</v>
      </c>
      <c r="F2" s="12" t="s">
        <v>125</v>
      </c>
      <c r="G2" s="12" t="s">
        <v>27</v>
      </c>
      <c r="H2" s="12" t="str">
        <f>'Site 1 (HUB)'!I2</f>
        <v>TACACS-KEY</v>
      </c>
      <c r="I2" s="12" t="s">
        <v>130</v>
      </c>
      <c r="J2" s="14" t="str">
        <f>'Site 1 (HUB)'!L2</f>
        <v>10.1.10.10</v>
      </c>
      <c r="K2" s="14" t="str">
        <f>'Site 1 (HUB)'!M2</f>
        <v>10.1.10.10</v>
      </c>
      <c r="L2" s="20" t="s">
        <v>30</v>
      </c>
      <c r="M2" s="30" t="str">
        <f>'Site 1 (HUB)'!O2</f>
        <v>10.1.10.10</v>
      </c>
      <c r="N2" s="30" t="str">
        <f>'Site 1 (HUB)'!P2</f>
        <v>RADIUS-KEY</v>
      </c>
      <c r="O2" s="34" t="s">
        <v>32</v>
      </c>
      <c r="P2" s="34" t="s">
        <v>32</v>
      </c>
      <c r="Q2" s="34" t="s">
        <v>33</v>
      </c>
      <c r="R2" s="34" t="s">
        <v>34</v>
      </c>
      <c r="S2" s="34" t="s">
        <v>35</v>
      </c>
      <c r="T2" s="34" t="s">
        <v>36</v>
      </c>
      <c r="U2" s="34">
        <v>9</v>
      </c>
      <c r="V2" s="34" t="s">
        <v>82</v>
      </c>
      <c r="W2" s="39" t="b">
        <v>1</v>
      </c>
      <c r="X2" s="40" t="s">
        <v>29</v>
      </c>
      <c r="Y2" s="40" t="s">
        <v>119</v>
      </c>
      <c r="Z2" s="40" t="s">
        <v>120</v>
      </c>
      <c r="AA2" s="40" t="s">
        <v>121</v>
      </c>
    </row>
    <row r="3" spans="1:27" ht="15.75" customHeight="1" x14ac:dyDescent="0.25"/>
    <row r="4" spans="1:27" ht="31.5" customHeight="1" x14ac:dyDescent="0.2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26" t="s">
        <v>46</v>
      </c>
      <c r="J4" s="27" t="s">
        <v>131</v>
      </c>
      <c r="K4" s="27" t="s">
        <v>48</v>
      </c>
    </row>
    <row r="5" spans="1:27" ht="15.75" customHeight="1" x14ac:dyDescent="0.25">
      <c r="A5" s="7" t="s">
        <v>49</v>
      </c>
      <c r="B5" s="8">
        <v>10</v>
      </c>
      <c r="C5" s="7">
        <v>0</v>
      </c>
      <c r="D5" s="7" t="str">
        <f>10&amp;"."&amp;$A$2&amp;"."&amp;B5&amp;".0"</f>
        <v>10.2.10.0</v>
      </c>
      <c r="E5" s="7" t="str">
        <f>10&amp;"."&amp;$A$2&amp;"."&amp;B5&amp;".1"</f>
        <v>10.2.10.1</v>
      </c>
      <c r="F5" s="7" t="s">
        <v>50</v>
      </c>
      <c r="G5" s="7" t="str">
        <f t="shared" ref="G5:G8" si="0"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f>
        <v>10.2.10.1</v>
      </c>
      <c r="H5" s="7" t="str">
        <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f>
        <v>10.2.10.254</v>
      </c>
      <c r="I5" s="7">
        <v>40</v>
      </c>
      <c r="J5" s="9">
        <v>21</v>
      </c>
      <c r="K5" s="9">
        <v>5</v>
      </c>
    </row>
    <row r="6" spans="1:27" ht="15.75" customHeight="1" x14ac:dyDescent="0.25">
      <c r="A6" s="7" t="s">
        <v>51</v>
      </c>
      <c r="B6" s="8">
        <v>20</v>
      </c>
      <c r="C6" s="7">
        <v>0</v>
      </c>
      <c r="D6" s="7" t="str">
        <f t="shared" ref="D6:D8" si="1">10&amp;"."&amp;$A$2&amp;"."&amp;B6&amp;".0"</f>
        <v>10.2.20.0</v>
      </c>
      <c r="E6" s="7" t="str">
        <f t="shared" ref="E6:E8" si="2">10&amp;"."&amp;$A$2&amp;"."&amp;B6&amp;".1"</f>
        <v>10.2.20.1</v>
      </c>
      <c r="F6" s="7" t="s">
        <v>50</v>
      </c>
      <c r="G6" s="7" t="str">
        <f t="shared" si="0"/>
        <v>10.2.20.1</v>
      </c>
      <c r="H6" s="7" t="str">
        <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f>
        <v>10.2.20.254</v>
      </c>
      <c r="I6" s="7">
        <v>40</v>
      </c>
      <c r="J6" s="9">
        <v>11</v>
      </c>
      <c r="K6" s="9">
        <v>2</v>
      </c>
    </row>
    <row r="7" spans="1:27" ht="15.75" customHeight="1" x14ac:dyDescent="0.25">
      <c r="A7" s="7" t="s">
        <v>52</v>
      </c>
      <c r="B7" s="8">
        <v>30</v>
      </c>
      <c r="C7" s="7">
        <v>0</v>
      </c>
      <c r="D7" s="7" t="str">
        <f t="shared" si="1"/>
        <v>10.2.30.0</v>
      </c>
      <c r="E7" s="7" t="str">
        <f t="shared" si="2"/>
        <v>10.2.30.1</v>
      </c>
      <c r="F7" s="7" t="s">
        <v>50</v>
      </c>
      <c r="G7" s="7" t="str">
        <f t="shared" si="0"/>
        <v>10.2.30.1</v>
      </c>
      <c r="H7" s="7" t="str">
        <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f>
        <v>10.2.30.254</v>
      </c>
      <c r="I7" s="7">
        <v>40</v>
      </c>
      <c r="J7">
        <v>42</v>
      </c>
      <c r="K7">
        <v>7</v>
      </c>
    </row>
    <row r="8" spans="1:27" ht="15.75" customHeight="1" x14ac:dyDescent="0.25">
      <c r="A8" s="7" t="s">
        <v>53</v>
      </c>
      <c r="B8" s="8">
        <v>40</v>
      </c>
      <c r="C8" s="7">
        <v>0</v>
      </c>
      <c r="D8" s="7" t="str">
        <f t="shared" si="1"/>
        <v>10.2.40.0</v>
      </c>
      <c r="E8" s="7" t="str">
        <f t="shared" si="2"/>
        <v>10.2.40.1</v>
      </c>
      <c r="F8" s="7" t="s">
        <v>50</v>
      </c>
      <c r="G8" s="7" t="str">
        <f t="shared" si="0"/>
        <v>10.2.40.1</v>
      </c>
      <c r="H8" s="7" t="str">
        <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f>
        <v>10.2.40.254</v>
      </c>
      <c r="I8" s="7">
        <v>40</v>
      </c>
      <c r="J8">
        <v>41</v>
      </c>
      <c r="K8">
        <v>10</v>
      </c>
      <c r="L8" s="12"/>
    </row>
    <row r="9" spans="1:27" ht="15.75" customHeight="1" x14ac:dyDescent="0.25">
      <c r="A9" s="42" t="s">
        <v>54</v>
      </c>
      <c r="B9" s="8">
        <v>50</v>
      </c>
      <c r="C9" s="7">
        <v>0</v>
      </c>
      <c r="D9" s="7" t="str">
        <f t="shared" ref="D9" si="3">10&amp;"."&amp;$A$2&amp;"."&amp;B9&amp;".0"</f>
        <v>10.2.50.0</v>
      </c>
      <c r="E9" s="7" t="str">
        <f t="shared" ref="E9" si="4">10&amp;"."&amp;$A$2&amp;"."&amp;B9&amp;".1"</f>
        <v>10.2.50.1</v>
      </c>
      <c r="F9" s="7" t="s">
        <v>50</v>
      </c>
      <c r="G9" s="7" t="str">
        <f t="shared" ref="G9" si="5">VALUE(LEFT(D9,FIND(".",D9)-1))&amp;"."&amp;VALUE(MID(D9,FIND(".",D9)+1,FIND(".",D9,FIND(".",D9)+1)-FIND(".",D9)-1))&amp;"."&amp;VALUE(MID(D9,FIND(".",D9,FIND(".",D9)+1)+1,FIND(".",D9,FIND(".",D9,FIND(".",D9)+1)+1)-FIND(".",D9,FIND(".",D9)+1)-1))&amp;"."&amp;(VALUE(RIGHT(D9,LEN(D9)-FIND(".",D9,FIND(".",D9,FIND(".",D9)+1)+1)))+1)</f>
        <v>10.2.50.1</v>
      </c>
      <c r="H9" s="7" t="str">
        <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f>
        <v>10.2.50.254</v>
      </c>
      <c r="I9" s="7">
        <v>40</v>
      </c>
      <c r="J9">
        <v>41</v>
      </c>
      <c r="K9">
        <v>10</v>
      </c>
      <c r="L9" s="12"/>
    </row>
    <row r="10" spans="1:27" ht="15.75" customHeight="1" x14ac:dyDescent="0.25">
      <c r="A10" s="3"/>
      <c r="B10" s="3"/>
      <c r="C10"/>
      <c r="D10"/>
      <c r="E10"/>
      <c r="F10"/>
      <c r="G10"/>
      <c r="H10"/>
      <c r="I10"/>
      <c r="J10"/>
      <c r="K10"/>
      <c r="L10" s="12"/>
    </row>
    <row r="11" spans="1:27" ht="15.75" customHeight="1" x14ac:dyDescent="0.25">
      <c r="A11" s="6" t="s">
        <v>38</v>
      </c>
      <c r="B11" s="6" t="s">
        <v>55</v>
      </c>
      <c r="C11" s="6" t="s">
        <v>56</v>
      </c>
      <c r="D11"/>
      <c r="E11"/>
      <c r="F11"/>
      <c r="G11"/>
      <c r="H11"/>
      <c r="I11"/>
      <c r="J11"/>
      <c r="K11"/>
      <c r="L11" s="12"/>
    </row>
    <row r="12" spans="1:27" ht="15.75" customHeight="1" x14ac:dyDescent="0.25">
      <c r="A12" s="7" t="s">
        <v>49</v>
      </c>
      <c r="B12" s="7">
        <v>10</v>
      </c>
      <c r="C12" s="7" t="str">
        <f>$A$2&amp;"."&amp;$A$2&amp;"."&amp;$A$2&amp;"."&amp;B12</f>
        <v>2.2.2.10</v>
      </c>
      <c r="D12"/>
      <c r="E12"/>
      <c r="F12"/>
      <c r="G12"/>
      <c r="H12"/>
      <c r="I12"/>
      <c r="J12"/>
      <c r="K12"/>
      <c r="L12" s="12"/>
    </row>
    <row r="13" spans="1:27" ht="15.75" customHeight="1" x14ac:dyDescent="0.25">
      <c r="A13" s="7" t="s">
        <v>51</v>
      </c>
      <c r="B13" s="7">
        <v>20</v>
      </c>
      <c r="C13" s="7" t="str">
        <f t="shared" ref="C13:C15" si="6">$A$2&amp;"."&amp;$A$2&amp;"."&amp;$A$2&amp;"."&amp;B13</f>
        <v>2.2.2.20</v>
      </c>
      <c r="D13"/>
      <c r="E13"/>
      <c r="F13"/>
      <c r="G13"/>
      <c r="H13"/>
      <c r="I13"/>
      <c r="J13"/>
      <c r="K13"/>
      <c r="L13" s="12"/>
    </row>
    <row r="14" spans="1:27" ht="15.75" customHeight="1" x14ac:dyDescent="0.25">
      <c r="A14" s="7" t="s">
        <v>52</v>
      </c>
      <c r="B14" s="7">
        <v>30</v>
      </c>
      <c r="C14" s="7" t="str">
        <f t="shared" si="6"/>
        <v>2.2.2.30</v>
      </c>
      <c r="D14"/>
      <c r="E14"/>
      <c r="F14"/>
      <c r="G14"/>
      <c r="H14"/>
      <c r="I14"/>
      <c r="J14"/>
      <c r="K14"/>
      <c r="L14" s="12"/>
    </row>
    <row r="15" spans="1:27" ht="15.75" customHeight="1" x14ac:dyDescent="0.25">
      <c r="A15" s="7" t="s">
        <v>53</v>
      </c>
      <c r="B15" s="7">
        <v>40</v>
      </c>
      <c r="C15" s="7" t="str">
        <f t="shared" si="6"/>
        <v>2.2.2.40</v>
      </c>
      <c r="D15"/>
      <c r="E15"/>
      <c r="F15"/>
      <c r="G15"/>
      <c r="H15"/>
      <c r="I15"/>
      <c r="J15"/>
      <c r="K15"/>
      <c r="L15" s="12"/>
    </row>
    <row r="16" spans="1:27" ht="15.75" customHeight="1" x14ac:dyDescent="0.25">
      <c r="A16" s="42" t="s">
        <v>54</v>
      </c>
      <c r="B16" s="7">
        <v>50</v>
      </c>
      <c r="C16" s="42" t="str">
        <f t="shared" ref="C16" si="7">$A$2&amp;"."&amp;$A$2&amp;"."&amp;$A$2&amp;"."&amp;B16</f>
        <v>2.2.2.50</v>
      </c>
      <c r="D16"/>
      <c r="E16"/>
      <c r="F16"/>
      <c r="G16"/>
      <c r="H16"/>
      <c r="I16"/>
      <c r="J16"/>
      <c r="K16"/>
      <c r="L16" s="12"/>
    </row>
    <row r="17" spans="1:17" ht="15.75" customHeight="1" x14ac:dyDescent="0.25"/>
    <row r="18" spans="1:17" ht="15.75" customHeight="1" x14ac:dyDescent="0.25">
      <c r="A18" s="12" t="s">
        <v>57</v>
      </c>
      <c r="B18" s="12" t="s">
        <v>38</v>
      </c>
      <c r="C18" s="12" t="s">
        <v>58</v>
      </c>
      <c r="D18" s="12" t="s">
        <v>43</v>
      </c>
      <c r="E18" s="12" t="s">
        <v>59</v>
      </c>
      <c r="F18" s="12" t="s">
        <v>60</v>
      </c>
      <c r="G18" s="12" t="s">
        <v>61</v>
      </c>
      <c r="H18" s="12" t="s">
        <v>62</v>
      </c>
      <c r="I18" s="12" t="s">
        <v>63</v>
      </c>
      <c r="J18" s="12" t="s">
        <v>64</v>
      </c>
    </row>
    <row r="19" spans="1:17" ht="15.75" customHeight="1" x14ac:dyDescent="0.25">
      <c r="A19" s="12" t="s">
        <v>65</v>
      </c>
      <c r="B19" s="12" t="s">
        <v>49</v>
      </c>
      <c r="C19" s="12" t="str">
        <f>172&amp;"."&amp;16&amp;"."&amp;H19&amp;"."&amp;$A$2</f>
        <v>172.16.10.2</v>
      </c>
      <c r="D19" s="12" t="s">
        <v>50</v>
      </c>
      <c r="E19" s="12" t="str">
        <f t="shared" ref="E19:E23" si="8">$C$2</f>
        <v>2.2.2.0</v>
      </c>
      <c r="F19"/>
      <c r="G19" s="12" t="s">
        <v>66</v>
      </c>
      <c r="H19" s="12">
        <v>10</v>
      </c>
      <c r="I19" s="29" t="b">
        <f>'Site 1 (HUB)'!I19</f>
        <v>1</v>
      </c>
      <c r="J19"/>
    </row>
    <row r="20" spans="1:17" ht="15.75" customHeight="1" x14ac:dyDescent="0.25">
      <c r="A20" s="12" t="s">
        <v>67</v>
      </c>
      <c r="B20" s="12" t="s">
        <v>51</v>
      </c>
      <c r="C20" s="12" t="str">
        <f>172&amp;"."&amp;16&amp;"."&amp;H20&amp;"."&amp;$A$2</f>
        <v>172.16.20.2</v>
      </c>
      <c r="D20" s="12" t="s">
        <v>50</v>
      </c>
      <c r="E20" s="12" t="str">
        <f t="shared" si="8"/>
        <v>2.2.2.0</v>
      </c>
      <c r="F20"/>
      <c r="G20" s="12" t="s">
        <v>66</v>
      </c>
      <c r="H20" s="12">
        <v>20</v>
      </c>
      <c r="I20" s="29" t="b" cm="1">
        <f>'Site 1 (HUB)'!I20</f>
        <v>0</v>
      </c>
      <c r="J20"/>
    </row>
    <row r="21" spans="1:17" ht="15.75" customHeight="1" x14ac:dyDescent="0.25">
      <c r="A21" s="12" t="s">
        <v>68</v>
      </c>
      <c r="B21" s="12" t="s">
        <v>52</v>
      </c>
      <c r="C21" s="12" t="str">
        <f>172&amp;"."&amp;16&amp;"."&amp;H21&amp;"."&amp;$A$2</f>
        <v>172.16.30.2</v>
      </c>
      <c r="D21" s="12" t="s">
        <v>50</v>
      </c>
      <c r="E21" s="12" t="str">
        <f t="shared" si="8"/>
        <v>2.2.2.0</v>
      </c>
      <c r="F21"/>
      <c r="G21" s="12" t="s">
        <v>66</v>
      </c>
      <c r="H21" s="12">
        <v>30</v>
      </c>
      <c r="I21" s="29" t="b">
        <f>'Site 1 (HUB)'!I21</f>
        <v>1</v>
      </c>
      <c r="J21"/>
    </row>
    <row r="22" spans="1:17" ht="15.75" customHeight="1" x14ac:dyDescent="0.25">
      <c r="A22" s="12" t="s">
        <v>69</v>
      </c>
      <c r="B22" s="12" t="s">
        <v>53</v>
      </c>
      <c r="C22" s="12" t="str">
        <f t="shared" ref="C22" si="9">172&amp;"."&amp;16&amp;"."&amp;H22&amp;"."&amp;$A$2</f>
        <v>172.16.40.2</v>
      </c>
      <c r="D22" s="12" t="s">
        <v>50</v>
      </c>
      <c r="E22" s="12" t="str">
        <f t="shared" si="8"/>
        <v>2.2.2.0</v>
      </c>
      <c r="F22"/>
      <c r="G22" s="12" t="s">
        <v>66</v>
      </c>
      <c r="H22" s="12">
        <v>40</v>
      </c>
      <c r="I22" s="29" t="b">
        <f>'Site 1 (HUB)'!I22</f>
        <v>1</v>
      </c>
      <c r="J22"/>
    </row>
    <row r="23" spans="1:17" ht="15.75" customHeight="1" x14ac:dyDescent="0.25">
      <c r="A23" s="44" t="s">
        <v>132</v>
      </c>
      <c r="B23" s="43" t="s">
        <v>54</v>
      </c>
      <c r="C23" s="43" t="str">
        <f t="shared" ref="C23" si="10">172&amp;"."&amp;16&amp;"."&amp;H23&amp;"."&amp;$A$2</f>
        <v>172.16.40.2</v>
      </c>
      <c r="D23" s="43" t="s">
        <v>50</v>
      </c>
      <c r="E23" s="46" t="str">
        <f t="shared" si="8"/>
        <v>2.2.2.0</v>
      </c>
      <c r="F23" s="47"/>
      <c r="G23" s="43" t="s">
        <v>66</v>
      </c>
      <c r="H23" s="43">
        <v>40</v>
      </c>
      <c r="I23" s="29" t="b">
        <f>'Site 1 (HUB)'!I23</f>
        <v>1</v>
      </c>
      <c r="J23" s="47"/>
    </row>
    <row r="24" spans="1:17" ht="15.75" customHeight="1" x14ac:dyDescent="0.25"/>
    <row r="25" spans="1:17" ht="16.5" customHeight="1" x14ac:dyDescent="0.25">
      <c r="A25" s="12" t="s">
        <v>0</v>
      </c>
      <c r="B25" s="12" t="s">
        <v>3</v>
      </c>
      <c r="C25" s="12" t="s">
        <v>4</v>
      </c>
      <c r="D25" s="12" t="s">
        <v>5</v>
      </c>
      <c r="E25" s="12" t="s">
        <v>6</v>
      </c>
      <c r="F25" s="12" t="s">
        <v>70</v>
      </c>
      <c r="G25" s="1" t="s">
        <v>71</v>
      </c>
      <c r="H25" s="1" t="s">
        <v>72</v>
      </c>
    </row>
    <row r="26" spans="1:17" ht="15.75" customHeight="1" x14ac:dyDescent="0.25">
      <c r="A26" s="12">
        <f>$A$2</f>
        <v>2</v>
      </c>
      <c r="B26" s="12" t="str">
        <f>$D$2</f>
        <v>admin</v>
      </c>
      <c r="C26" s="12" t="str">
        <f>$E$2</f>
        <v>$9$0nNdTjfcaOQFlP$4VgON16XmZXlfGr4BcOzEN7OoRxfPIAcXDQ0afwx67k</v>
      </c>
      <c r="D26" s="12" t="str">
        <f>$F$2</f>
        <v>0 - 15</v>
      </c>
      <c r="E26" s="12" t="str">
        <f>$G$2</f>
        <v>$9$0nNdTjfcaOQFlP$4VgON16XmZXlfGr4BcOzEN7OoRxfPIAcXDQ0afwx67k</v>
      </c>
      <c r="F26" s="12">
        <v>2</v>
      </c>
      <c r="G26" s="2" t="s">
        <v>124</v>
      </c>
      <c r="H26" s="47" t="s">
        <v>127</v>
      </c>
    </row>
    <row r="27" spans="1:17" ht="15.75" customHeight="1" x14ac:dyDescent="0.25"/>
    <row r="28" spans="1:17" ht="27.9" customHeight="1" x14ac:dyDescent="0.25">
      <c r="A28" s="13" t="s">
        <v>73</v>
      </c>
      <c r="B28" s="13" t="s">
        <v>74</v>
      </c>
      <c r="C28" s="13" t="s">
        <v>75</v>
      </c>
      <c r="D28" s="13" t="s">
        <v>42</v>
      </c>
      <c r="E28" s="13" t="s">
        <v>43</v>
      </c>
      <c r="F28" s="13" t="s">
        <v>76</v>
      </c>
      <c r="G28" s="13" t="s">
        <v>77</v>
      </c>
      <c r="H28" s="13" t="s">
        <v>78</v>
      </c>
      <c r="I28" s="13" t="s">
        <v>79</v>
      </c>
      <c r="J28" s="13" t="s">
        <v>1</v>
      </c>
      <c r="K28" s="13" t="s">
        <v>80</v>
      </c>
      <c r="L28" s="25" t="s">
        <v>81</v>
      </c>
      <c r="M28" s="1" t="s">
        <v>17</v>
      </c>
      <c r="N28" s="1" t="s">
        <v>18</v>
      </c>
      <c r="O28" s="1" t="s">
        <v>19</v>
      </c>
      <c r="P28" s="1" t="s">
        <v>23</v>
      </c>
      <c r="Q28" s="1" t="s">
        <v>24</v>
      </c>
    </row>
    <row r="29" spans="1:17" ht="45" customHeight="1" x14ac:dyDescent="0.25">
      <c r="A29" s="7">
        <f t="shared" ref="A29" si="11">ROW()-28</f>
        <v>1</v>
      </c>
      <c r="B29" s="7">
        <f>$B$5</f>
        <v>10</v>
      </c>
      <c r="C29" s="7" t="str">
        <f>10&amp;"."&amp;$A$2&amp;"."&amp;$B$5&amp;"."&amp;(A29+1)</f>
        <v>10.2.10.2</v>
      </c>
      <c r="D29" s="7" t="str">
        <f>$E$5</f>
        <v>10.2.10.1</v>
      </c>
      <c r="E29" s="7" t="str">
        <f>$F$5</f>
        <v>255.255.255.0</v>
      </c>
      <c r="F29" s="7">
        <v>49</v>
      </c>
      <c r="G29" s="7">
        <v>1</v>
      </c>
      <c r="H29" s="10">
        <v>1</v>
      </c>
      <c r="I29" s="7" t="s">
        <v>128</v>
      </c>
      <c r="J29" s="2" t="s">
        <v>126</v>
      </c>
      <c r="K29" s="2">
        <f>IF($A29=1,F29-G29-H29*$F$26-2-IF(OR(UPPER($G$26)="SPAN",UPPER($G$26)="RSPAN"),1,0),F29-G29-(1+H29)*$F$26-1)</f>
        <v>43</v>
      </c>
      <c r="M29" s="31"/>
      <c r="N29" s="31"/>
      <c r="O29" s="31"/>
      <c r="P29" s="31"/>
      <c r="Q29" s="31"/>
    </row>
    <row r="30" spans="1:17" ht="15.75" customHeight="1" x14ac:dyDescent="0.25">
      <c r="M30" s="31"/>
      <c r="N30" s="31"/>
      <c r="O30" s="31"/>
      <c r="P30" s="31"/>
      <c r="Q30" s="31"/>
    </row>
    <row r="31" spans="1:17" ht="15.75" customHeight="1" x14ac:dyDescent="0.25">
      <c r="M31" s="31"/>
      <c r="N31" s="31"/>
      <c r="O31" s="31"/>
      <c r="P31" s="31"/>
      <c r="Q31" s="31"/>
    </row>
    <row r="32" spans="1:17" ht="15.75" customHeight="1" x14ac:dyDescent="0.25">
      <c r="M32" s="31"/>
      <c r="N32" s="31"/>
      <c r="O32" s="31"/>
      <c r="P32" s="31"/>
      <c r="Q32" s="31"/>
    </row>
    <row r="33" spans="13:17" ht="15.75" customHeight="1" x14ac:dyDescent="0.25">
      <c r="M33" s="31"/>
      <c r="N33" s="31"/>
      <c r="O33" s="31"/>
      <c r="P33" s="31"/>
      <c r="Q33" s="31"/>
    </row>
    <row r="34" spans="13:17" ht="15.75" customHeight="1" x14ac:dyDescent="0.25">
      <c r="M34" s="31"/>
      <c r="N34" s="31"/>
      <c r="O34" s="31"/>
      <c r="P34" s="31"/>
      <c r="Q34" s="31"/>
    </row>
    <row r="35" spans="13:17" ht="15.75" customHeight="1" x14ac:dyDescent="0.25">
      <c r="M35" s="31"/>
      <c r="N35" s="31"/>
      <c r="O35" s="31"/>
      <c r="P35" s="31"/>
      <c r="Q35" s="31"/>
    </row>
    <row r="36" spans="13:17" ht="15.75" customHeight="1" x14ac:dyDescent="0.25">
      <c r="M36" s="31"/>
      <c r="N36" s="31"/>
      <c r="O36" s="31"/>
      <c r="P36" s="31"/>
      <c r="Q36" s="31"/>
    </row>
    <row r="37" spans="13:17" ht="15.75" customHeight="1" x14ac:dyDescent="0.25">
      <c r="M37" s="31"/>
      <c r="N37" s="31"/>
      <c r="O37" s="31"/>
      <c r="P37" s="31"/>
      <c r="Q37" s="31"/>
    </row>
    <row r="38" spans="13:17" ht="15.75" customHeight="1" x14ac:dyDescent="0.25">
      <c r="M38" s="31"/>
      <c r="N38" s="31"/>
      <c r="O38" s="31"/>
      <c r="P38" s="31"/>
      <c r="Q38" s="31"/>
    </row>
    <row r="39" spans="13:17" ht="15.75" customHeight="1" x14ac:dyDescent="0.25">
      <c r="M39" s="31"/>
      <c r="N39" s="31"/>
      <c r="O39" s="31"/>
      <c r="P39" s="31"/>
      <c r="Q39" s="31"/>
    </row>
    <row r="40" spans="13:17" ht="15.75" customHeight="1" x14ac:dyDescent="0.25">
      <c r="M40" s="31"/>
      <c r="N40" s="31"/>
      <c r="O40" s="31"/>
      <c r="P40" s="31"/>
      <c r="Q40" s="31"/>
    </row>
    <row r="41" spans="13:17" ht="15.75" customHeight="1" x14ac:dyDescent="0.25">
      <c r="M41" s="31"/>
      <c r="N41" s="31"/>
      <c r="O41" s="31"/>
      <c r="P41" s="31"/>
      <c r="Q41" s="31"/>
    </row>
    <row r="42" spans="13:17" ht="15.75" customHeight="1" x14ac:dyDescent="0.25">
      <c r="M42" s="31"/>
      <c r="N42" s="31"/>
      <c r="O42" s="31"/>
      <c r="P42" s="31"/>
      <c r="Q42" s="31"/>
    </row>
    <row r="43" spans="13:17" ht="15.75" customHeight="1" x14ac:dyDescent="0.25">
      <c r="M43" s="31"/>
      <c r="N43" s="31"/>
      <c r="O43" s="31"/>
      <c r="P43" s="31"/>
      <c r="Q43" s="31"/>
    </row>
    <row r="44" spans="13:17" ht="15.75" customHeight="1" x14ac:dyDescent="0.25">
      <c r="M44" s="31"/>
      <c r="N44" s="31"/>
      <c r="O44" s="31"/>
      <c r="P44" s="31"/>
      <c r="Q44" s="31"/>
    </row>
    <row r="45" spans="13:17" ht="15.75" customHeight="1" x14ac:dyDescent="0.25">
      <c r="M45" s="31"/>
      <c r="N45" s="31"/>
      <c r="O45" s="31"/>
      <c r="P45" s="31"/>
      <c r="Q45" s="31"/>
    </row>
    <row r="46" spans="13:17" ht="15.75" customHeight="1" x14ac:dyDescent="0.25">
      <c r="M46" s="31"/>
      <c r="N46" s="31"/>
      <c r="O46" s="31"/>
      <c r="P46" s="31"/>
      <c r="Q46" s="31"/>
    </row>
    <row r="47" spans="13:17" ht="15.75" customHeight="1" x14ac:dyDescent="0.25">
      <c r="M47" s="31"/>
      <c r="N47" s="31"/>
      <c r="O47" s="31"/>
      <c r="P47" s="31"/>
      <c r="Q47" s="31"/>
    </row>
    <row r="48" spans="13:17" ht="15.75" customHeight="1" x14ac:dyDescent="0.25">
      <c r="M48" s="31"/>
      <c r="N48" s="31"/>
      <c r="O48" s="31"/>
      <c r="P48" s="31"/>
      <c r="Q48" s="31"/>
    </row>
    <row r="49" spans="13:17" ht="15.75" customHeight="1" x14ac:dyDescent="0.25">
      <c r="M49" s="31"/>
      <c r="N49" s="31"/>
      <c r="O49" s="31"/>
      <c r="P49" s="31"/>
      <c r="Q49" s="31"/>
    </row>
    <row r="50" spans="13:17" ht="15.75" customHeight="1" x14ac:dyDescent="0.25">
      <c r="M50" s="31"/>
      <c r="N50" s="31"/>
      <c r="O50" s="31"/>
      <c r="P50" s="31"/>
      <c r="Q50" s="31"/>
    </row>
    <row r="51" spans="13:17" ht="15.75" customHeight="1" x14ac:dyDescent="0.25">
      <c r="M51" s="31"/>
      <c r="N51" s="31"/>
      <c r="O51" s="31"/>
      <c r="P51" s="31"/>
      <c r="Q51" s="31"/>
    </row>
    <row r="52" spans="13:17" ht="15.75" customHeight="1" x14ac:dyDescent="0.25">
      <c r="M52" s="31"/>
      <c r="N52" s="31"/>
      <c r="O52" s="31"/>
      <c r="P52" s="31"/>
      <c r="Q52" s="31"/>
    </row>
    <row r="53" spans="13:17" ht="15.75" customHeight="1" x14ac:dyDescent="0.25">
      <c r="M53" s="31"/>
      <c r="N53" s="31"/>
      <c r="O53" s="31"/>
      <c r="P53" s="31"/>
      <c r="Q53" s="31"/>
    </row>
    <row r="54" spans="13:17" ht="15.75" customHeight="1" x14ac:dyDescent="0.25">
      <c r="M54" s="31"/>
      <c r="N54" s="31"/>
      <c r="O54" s="31"/>
      <c r="P54" s="31"/>
      <c r="Q54" s="31"/>
    </row>
    <row r="55" spans="13:17" ht="15.75" customHeight="1" x14ac:dyDescent="0.25">
      <c r="M55" s="31"/>
      <c r="N55" s="31"/>
      <c r="O55" s="31"/>
      <c r="P55" s="31"/>
      <c r="Q55" s="31"/>
    </row>
    <row r="56" spans="13:17" ht="15.75" customHeight="1" x14ac:dyDescent="0.25">
      <c r="M56" s="31"/>
      <c r="N56" s="31"/>
      <c r="O56" s="31"/>
      <c r="P56" s="31"/>
      <c r="Q56" s="31"/>
    </row>
    <row r="57" spans="13:17" ht="15.75" customHeight="1" x14ac:dyDescent="0.25">
      <c r="M57" s="31"/>
      <c r="N57" s="31"/>
      <c r="O57" s="31"/>
      <c r="P57" s="31"/>
      <c r="Q57" s="31"/>
    </row>
    <row r="58" spans="13:17" ht="15.75" customHeight="1" x14ac:dyDescent="0.25">
      <c r="M58" s="31"/>
      <c r="N58" s="31"/>
      <c r="O58" s="31"/>
      <c r="P58" s="31"/>
      <c r="Q58" s="31"/>
    </row>
    <row r="59" spans="13:17" ht="15.75" customHeight="1" x14ac:dyDescent="0.25">
      <c r="M59" s="31"/>
      <c r="N59" s="31"/>
      <c r="O59" s="31"/>
      <c r="P59" s="31"/>
      <c r="Q59" s="31"/>
    </row>
    <row r="60" spans="13:17" ht="15.75" customHeight="1" x14ac:dyDescent="0.25"/>
    <row r="61" spans="13:17" ht="15.75" customHeight="1" x14ac:dyDescent="0.25"/>
    <row r="62" spans="13:17" ht="15.75" customHeight="1" x14ac:dyDescent="0.25"/>
    <row r="63" spans="13:17" ht="15.75" customHeight="1" x14ac:dyDescent="0.25"/>
    <row r="64" spans="13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dataValidations count="9">
    <dataValidation type="list" sqref="V2 Q29:Q59" xr:uid="{39D8B1B3-368B-4AC5-A514-11645F40D89B}">
      <formula1>"AUTO,DOT1Q_CMD,NO_CMD"</formula1>
    </dataValidation>
    <dataValidation type="list" sqref="U2 P29:P59" xr:uid="{40E87254-C5D0-4454-8C47-5100945ED78A}">
      <formula1>"AUTO,5,8,9"</formula1>
    </dataValidation>
    <dataValidation type="list" sqref="T2" xr:uid="{D82DFD41-8835-4B4F-94E1-F31DD76B81DE}">
      <formula1>"IKEV1,IKEV2"</formula1>
    </dataValidation>
    <dataValidation type="list" sqref="R2" xr:uid="{F047568E-0FF5-4EA3-A7BF-468F3B62A5DC}">
      <formula1>"CLASSIC,NAMED"</formula1>
    </dataValidation>
    <dataValidation type="list" sqref="Q2 O29:O59" xr:uid="{8398B055-E1AD-474F-AA4B-7C530D80F4B4}">
      <formula1>"LEGACY,AUTH,ACCESS_SESSION"</formula1>
    </dataValidation>
    <dataValidation type="list" sqref="O2:P2 S2 M29:N59" xr:uid="{3BA14544-E617-4EAB-8056-F1ADFAEBFA4A}">
      <formula1>"OLD,NEW"</formula1>
    </dataValidation>
    <dataValidation type="list" sqref="L2" xr:uid="{1CFE3BAF-8D34-4CA8-BE94-49E44A9437C4}">
      <formula1>"OFF,STRICT,LOOSE"</formula1>
    </dataValidation>
    <dataValidation type="list" sqref="G26" xr:uid="{194DE05B-70E4-4CED-BEE9-B1A159236E6A}">
      <formula1>"SPAN,RSPAN,ERSPAN"</formula1>
    </dataValidation>
    <dataValidation type="custom" allowBlank="1" showInputMessage="1" showErrorMessage="1" sqref="I29" xr:uid="{5FB8B7A2-FDEC-49C6-A037-9F36974649E1}">
      <formula1>IF(I29="",TRUE,SUM(--_xlfn.TEXTAFTER(_xlfn.TEXTSPLIT(I29,"-"),"."))&lt;=K29)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topLeftCell="A2" zoomScale="70" zoomScaleNormal="70" workbookViewId="0">
      <selection activeCell="J25" sqref="J25"/>
    </sheetView>
  </sheetViews>
  <sheetFormatPr defaultColWidth="12.5546875" defaultRowHeight="13.8" x14ac:dyDescent="0.25"/>
  <cols>
    <col min="1" max="1" width="15.44140625" style="12" customWidth="1"/>
    <col min="2" max="2" width="14.33203125" style="12" customWidth="1"/>
    <col min="3" max="3" width="75.88671875" style="12" customWidth="1"/>
    <col min="4" max="4" width="14.33203125" style="12" customWidth="1"/>
    <col min="5" max="5" width="75.88671875" style="12" customWidth="1"/>
    <col min="6" max="6" width="16.88671875" style="12" customWidth="1"/>
    <col min="7" max="7" width="75.88671875" style="12" customWidth="1"/>
    <col min="8" max="8" width="15.5546875" style="12" customWidth="1"/>
    <col min="9" max="9" width="14.33203125" style="12" customWidth="1"/>
    <col min="10" max="10" width="16.109375" style="12" customWidth="1"/>
    <col min="11" max="11" width="16.88671875" style="12" customWidth="1"/>
    <col min="12" max="12" width="15.44140625" customWidth="1"/>
    <col min="13" max="14" width="18" style="12" customWidth="1"/>
    <col min="15" max="16" width="18" customWidth="1"/>
    <col min="17" max="17" width="19.5546875" customWidth="1"/>
    <col min="18" max="21" width="18" customWidth="1"/>
    <col min="22" max="22" width="19.5546875" bestFit="1" customWidth="1"/>
    <col min="23" max="23" width="14.109375" style="12" customWidth="1"/>
    <col min="24" max="24" width="13.44140625" customWidth="1"/>
    <col min="25" max="25" width="9.44140625" customWidth="1"/>
    <col min="26" max="27" width="19" customWidth="1"/>
  </cols>
  <sheetData>
    <row r="1" spans="1:27" ht="27.9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8</v>
      </c>
      <c r="I1" s="24" t="s">
        <v>10</v>
      </c>
      <c r="J1" s="21" t="s">
        <v>11</v>
      </c>
      <c r="K1" s="21" t="s">
        <v>12</v>
      </c>
      <c r="L1" s="22" t="s">
        <v>13</v>
      </c>
      <c r="M1" s="22" t="s">
        <v>14</v>
      </c>
      <c r="N1" s="22" t="s">
        <v>15</v>
      </c>
      <c r="O1" s="33" t="s">
        <v>17</v>
      </c>
      <c r="P1" s="33" t="s">
        <v>18</v>
      </c>
      <c r="Q1" s="33" t="s">
        <v>19</v>
      </c>
      <c r="R1" s="33" t="s">
        <v>20</v>
      </c>
      <c r="S1" s="33" t="s">
        <v>21</v>
      </c>
      <c r="T1" s="33" t="s">
        <v>22</v>
      </c>
      <c r="U1" s="33" t="s">
        <v>23</v>
      </c>
      <c r="V1" s="33" t="s">
        <v>24</v>
      </c>
      <c r="W1" s="33" t="s">
        <v>114</v>
      </c>
      <c r="X1" s="33" t="s">
        <v>115</v>
      </c>
      <c r="Y1" s="33" t="s">
        <v>116</v>
      </c>
      <c r="Z1" s="33" t="s">
        <v>117</v>
      </c>
      <c r="AA1" s="33" t="s">
        <v>118</v>
      </c>
    </row>
    <row r="2" spans="1:27" ht="15.75" customHeight="1" x14ac:dyDescent="0.25">
      <c r="A2" s="12">
        <v>3</v>
      </c>
      <c r="B2" s="12" t="s">
        <v>25</v>
      </c>
      <c r="C2" s="12" t="str">
        <f>A2&amp;"."&amp;A2&amp;"."&amp;A2&amp;".0"</f>
        <v>3.3.3.0</v>
      </c>
      <c r="D2" s="12" t="s">
        <v>26</v>
      </c>
      <c r="E2" s="12" t="s">
        <v>27</v>
      </c>
      <c r="F2" s="12" t="s">
        <v>125</v>
      </c>
      <c r="G2" s="12" t="s">
        <v>27</v>
      </c>
      <c r="H2" s="12" t="str">
        <f>'Site 1 (HUB)'!I2</f>
        <v>TACACS-KEY</v>
      </c>
      <c r="I2" s="12" t="s">
        <v>130</v>
      </c>
      <c r="J2" s="14" t="str">
        <f>'Site 1 (HUB)'!L2</f>
        <v>10.1.10.10</v>
      </c>
      <c r="K2" s="14" t="str">
        <f>'Site 1 (HUB)'!M2</f>
        <v>10.1.10.10</v>
      </c>
      <c r="L2" s="20" t="s">
        <v>30</v>
      </c>
      <c r="M2" s="30" t="str">
        <f>'Site 1 (HUB)'!O2</f>
        <v>10.1.10.10</v>
      </c>
      <c r="N2" s="30" t="str">
        <f>'Site 1 (HUB)'!P2</f>
        <v>RADIUS-KEY</v>
      </c>
      <c r="O2" s="34" t="s">
        <v>32</v>
      </c>
      <c r="P2" s="34" t="s">
        <v>32</v>
      </c>
      <c r="Q2" s="34" t="s">
        <v>33</v>
      </c>
      <c r="R2" s="34" t="s">
        <v>34</v>
      </c>
      <c r="S2" s="34" t="s">
        <v>35</v>
      </c>
      <c r="T2" s="34" t="s">
        <v>36</v>
      </c>
      <c r="U2" s="34">
        <v>9</v>
      </c>
      <c r="V2" s="34" t="s">
        <v>82</v>
      </c>
      <c r="W2" s="39" t="b">
        <v>1</v>
      </c>
      <c r="X2" s="40" t="s">
        <v>29</v>
      </c>
      <c r="Y2" s="40" t="s">
        <v>119</v>
      </c>
      <c r="Z2" s="40" t="s">
        <v>120</v>
      </c>
      <c r="AA2" s="40" t="s">
        <v>121</v>
      </c>
    </row>
    <row r="3" spans="1:27" ht="15.75" customHeight="1" x14ac:dyDescent="0.25"/>
    <row r="4" spans="1:27" ht="31.5" customHeight="1" x14ac:dyDescent="0.2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26" t="s">
        <v>46</v>
      </c>
      <c r="J4" s="27" t="s">
        <v>131</v>
      </c>
      <c r="K4" s="27" t="s">
        <v>48</v>
      </c>
    </row>
    <row r="5" spans="1:27" ht="15.75" customHeight="1" x14ac:dyDescent="0.25">
      <c r="A5" s="7" t="s">
        <v>49</v>
      </c>
      <c r="B5" s="8">
        <v>10</v>
      </c>
      <c r="C5" s="7">
        <v>0</v>
      </c>
      <c r="D5" s="7" t="str">
        <f>10&amp;"."&amp;$A$2&amp;"."&amp;B5&amp;".0"</f>
        <v>10.3.10.0</v>
      </c>
      <c r="E5" s="7" t="str">
        <f>10&amp;"."&amp;$A$2&amp;"."&amp;B5&amp;".1"</f>
        <v>10.3.10.1</v>
      </c>
      <c r="F5" s="7" t="s">
        <v>50</v>
      </c>
      <c r="G5" s="7" t="str">
        <f t="shared" ref="G5:G9" si="0">VALUE(LEFT(D5,FIND(".",D5)-1))&amp;"."&amp;VALUE(MID(D5,FIND(".",D5)+1,FIND(".",D5,FIND(".",D5)+1)-FIND(".",D5)-1))&amp;"."&amp;VALUE(MID(D5,FIND(".",D5,FIND(".",D5)+1)+1,FIND(".",D5,FIND(".",D5,FIND(".",D5)+1)+1)-FIND(".",D5,FIND(".",D5)+1)-1))&amp;"."&amp;(VALUE(RIGHT(D5,LEN(D5)-FIND(".",D5,FIND(".",D5,FIND(".",D5)+1)+1)))+1)</f>
        <v>10.3.10.1</v>
      </c>
      <c r="H5" s="7" t="str">
        <f>(VALUE(LEFT(D5,FIND(".",D5)-1))+255-VALUE(LEFT(F5,FIND(".",F5)-1)))&amp;"."&amp;(VALUE(MID(D5,FIND(".",D5)+1,FIND(".",D5,FIND(".",D5)+1)-FIND(".",D5)-1))+255-VALUE(MID(F5,FIND(".",F5)+1,FIND(".",F5,FIND(".",F5)+1)-FIND(".",F5)-1)))&amp;"."&amp;(VALUE(MID(D5,FIND(".",D5,FIND(".",D5)+1)+1,FIND(".",D5,FIND(".",D5,FIND(".",D5)+1)+1)-FIND(".",D5,FIND(".",D5)+1)-1))+255-VALUE(MID(F5,FIND(".",F5,FIND(".",F5)+1)+1,FIND(".",F5,FIND(".",F5,FIND(".",F5)+1)+1)-FIND(".",F5,FIND(".",F5)+1)-1)))&amp;"."&amp;(VALUE(RIGHT(D5,LEN(D5)-FIND(".",D5,FIND(".",D5,FIND(".",D5)+1)+1)))+255-VALUE(RIGHT(F5,LEN(F5)-FIND(".",F5,FIND(".",F5,FIND(".",F5)+1)+1)))-1)</f>
        <v>10.3.10.254</v>
      </c>
      <c r="I5" s="7">
        <v>40</v>
      </c>
      <c r="J5" s="9">
        <v>21</v>
      </c>
      <c r="K5" s="9">
        <v>5</v>
      </c>
    </row>
    <row r="6" spans="1:27" ht="15.75" customHeight="1" x14ac:dyDescent="0.25">
      <c r="A6" s="7" t="s">
        <v>51</v>
      </c>
      <c r="B6" s="8">
        <v>20</v>
      </c>
      <c r="C6" s="7">
        <v>0</v>
      </c>
      <c r="D6" s="7" t="str">
        <f t="shared" ref="D6:D9" si="1">10&amp;"."&amp;$A$2&amp;"."&amp;B6&amp;".0"</f>
        <v>10.3.20.0</v>
      </c>
      <c r="E6" s="7" t="str">
        <f t="shared" ref="E6:E9" si="2">10&amp;"."&amp;$A$2&amp;"."&amp;B6&amp;".1"</f>
        <v>10.3.20.1</v>
      </c>
      <c r="F6" s="7" t="s">
        <v>50</v>
      </c>
      <c r="G6" s="7" t="str">
        <f t="shared" si="0"/>
        <v>10.3.20.1</v>
      </c>
      <c r="H6" s="7" t="str">
        <f>(VALUE(LEFT(D6,FIND(".",D6)-1))+255-VALUE(LEFT(F6,FIND(".",F6)-1)))&amp;"."&amp;(VALUE(MID(D6,FIND(".",D6)+1,FIND(".",D6,FIND(".",D6)+1)-FIND(".",D6)-1))+255-VALUE(MID(F6,FIND(".",F6)+1,FIND(".",F6,FIND(".",F6)+1)-FIND(".",F6)-1)))&amp;"."&amp;(VALUE(MID(D6,FIND(".",D6,FIND(".",D6)+1)+1,FIND(".",D6,FIND(".",D6,FIND(".",D6)+1)+1)-FIND(".",D6,FIND(".",D6)+1)-1))+255-VALUE(MID(F6,FIND(".",F6,FIND(".",F6)+1)+1,FIND(".",F6,FIND(".",F6,FIND(".",F6)+1)+1)-FIND(".",F6,FIND(".",F6)+1)-1)))&amp;"."&amp;(VALUE(RIGHT(D6,LEN(D6)-FIND(".",D6,FIND(".",D6,FIND(".",D6)+1)+1)))+255-VALUE(RIGHT(F6,LEN(F6)-FIND(".",F6,FIND(".",F6,FIND(".",F6)+1)+1)))-1)</f>
        <v>10.3.20.254</v>
      </c>
      <c r="I6" s="7">
        <v>40</v>
      </c>
      <c r="J6" s="9">
        <v>11</v>
      </c>
      <c r="K6" s="9">
        <v>2</v>
      </c>
    </row>
    <row r="7" spans="1:27" ht="15.75" customHeight="1" x14ac:dyDescent="0.25">
      <c r="A7" s="7" t="s">
        <v>52</v>
      </c>
      <c r="B7" s="8">
        <v>30</v>
      </c>
      <c r="C7" s="7">
        <v>0</v>
      </c>
      <c r="D7" s="7" t="str">
        <f t="shared" si="1"/>
        <v>10.3.30.0</v>
      </c>
      <c r="E7" s="7" t="str">
        <f t="shared" si="2"/>
        <v>10.3.30.1</v>
      </c>
      <c r="F7" s="7" t="s">
        <v>50</v>
      </c>
      <c r="G7" s="7" t="str">
        <f t="shared" si="0"/>
        <v>10.3.30.1</v>
      </c>
      <c r="H7" s="7" t="str">
        <f>(VALUE(LEFT(D7,FIND(".",D7)-1))+255-VALUE(LEFT(F7,FIND(".",F7)-1)))&amp;"."&amp;(VALUE(MID(D7,FIND(".",D7)+1,FIND(".",D7,FIND(".",D7)+1)-FIND(".",D7)-1))+255-VALUE(MID(F7,FIND(".",F7)+1,FIND(".",F7,FIND(".",F7)+1)-FIND(".",F7)-1)))&amp;"."&amp;(VALUE(MID(D7,FIND(".",D7,FIND(".",D7)+1)+1,FIND(".",D7,FIND(".",D7,FIND(".",D7)+1)+1)-FIND(".",D7,FIND(".",D7)+1)-1))+255-VALUE(MID(F7,FIND(".",F7,FIND(".",F7)+1)+1,FIND(".",F7,FIND(".",F7,FIND(".",F7)+1)+1)-FIND(".",F7,FIND(".",F7)+1)-1)))&amp;"."&amp;(VALUE(RIGHT(D7,LEN(D7)-FIND(".",D7,FIND(".",D7,FIND(".",D7)+1)+1)))+255-VALUE(RIGHT(F7,LEN(F7)-FIND(".",F7,FIND(".",F7,FIND(".",F7)+1)+1)))-1)</f>
        <v>10.3.30.254</v>
      </c>
      <c r="I7" s="7">
        <v>40</v>
      </c>
      <c r="J7">
        <v>42</v>
      </c>
      <c r="K7">
        <v>7</v>
      </c>
    </row>
    <row r="8" spans="1:27" ht="15.75" customHeight="1" x14ac:dyDescent="0.25">
      <c r="A8" s="7" t="s">
        <v>53</v>
      </c>
      <c r="B8" s="8">
        <v>40</v>
      </c>
      <c r="C8" s="7">
        <v>0</v>
      </c>
      <c r="D8" s="7" t="str">
        <f t="shared" si="1"/>
        <v>10.3.40.0</v>
      </c>
      <c r="E8" s="7" t="str">
        <f t="shared" si="2"/>
        <v>10.3.40.1</v>
      </c>
      <c r="F8" s="7" t="s">
        <v>50</v>
      </c>
      <c r="G8" s="7" t="str">
        <f t="shared" si="0"/>
        <v>10.3.40.1</v>
      </c>
      <c r="H8" s="7" t="str">
        <f>(VALUE(LEFT(D8,FIND(".",D8)-1))+255-VALUE(LEFT(F8,FIND(".",F8)-1)))&amp;"."&amp;(VALUE(MID(D8,FIND(".",D8)+1,FIND(".",D8,FIND(".",D8)+1)-FIND(".",D8)-1))+255-VALUE(MID(F8,FIND(".",F8)+1,FIND(".",F8,FIND(".",F8)+1)-FIND(".",F8)-1)))&amp;"."&amp;(VALUE(MID(D8,FIND(".",D8,FIND(".",D8)+1)+1,FIND(".",D8,FIND(".",D8,FIND(".",D8)+1)+1)-FIND(".",D8,FIND(".",D8)+1)-1))+255-VALUE(MID(F8,FIND(".",F8,FIND(".",F8)+1)+1,FIND(".",F8,FIND(".",F8,FIND(".",F8)+1)+1)-FIND(".",F8,FIND(".",F8)+1)-1)))&amp;"."&amp;(VALUE(RIGHT(D8,LEN(D8)-FIND(".",D8,FIND(".",D8,FIND(".",D8)+1)+1)))+255-VALUE(RIGHT(F8,LEN(F8)-FIND(".",F8,FIND(".",F8,FIND(".",F8)+1)+1)))-1)</f>
        <v>10.3.40.254</v>
      </c>
      <c r="I8" s="7">
        <v>40</v>
      </c>
      <c r="J8">
        <v>41</v>
      </c>
      <c r="K8">
        <v>10</v>
      </c>
      <c r="L8" s="12"/>
    </row>
    <row r="9" spans="1:27" ht="15.75" customHeight="1" x14ac:dyDescent="0.25">
      <c r="A9" s="42" t="s">
        <v>54</v>
      </c>
      <c r="B9" s="8">
        <v>50</v>
      </c>
      <c r="C9" s="7">
        <v>0</v>
      </c>
      <c r="D9" s="7" t="str">
        <f t="shared" si="1"/>
        <v>10.3.50.0</v>
      </c>
      <c r="E9" s="7" t="str">
        <f t="shared" si="2"/>
        <v>10.3.50.1</v>
      </c>
      <c r="F9" s="7" t="s">
        <v>50</v>
      </c>
      <c r="G9" s="7" t="str">
        <f t="shared" si="0"/>
        <v>10.3.50.1</v>
      </c>
      <c r="H9" s="7" t="str">
        <f>(VALUE(LEFT(D9,FIND(".",D9)-1))+255-VALUE(LEFT(F9,FIND(".",F9)-1)))&amp;"."&amp;(VALUE(MID(D9,FIND(".",D9)+1,FIND(".",D9,FIND(".",D9)+1)-FIND(".",D9)-1))+255-VALUE(MID(F9,FIND(".",F9)+1,FIND(".",F9,FIND(".",F9)+1)-FIND(".",F9)-1)))&amp;"."&amp;(VALUE(MID(D9,FIND(".",D9,FIND(".",D9)+1)+1,FIND(".",D9,FIND(".",D9,FIND(".",D9)+1)+1)-FIND(".",D9,FIND(".",D9)+1)-1))+255-VALUE(MID(F9,FIND(".",F9,FIND(".",F9)+1)+1,FIND(".",F9,FIND(".",F9,FIND(".",F9)+1)+1)-FIND(".",F9,FIND(".",F9)+1)-1)))&amp;"."&amp;(VALUE(RIGHT(D9,LEN(D9)-FIND(".",D9,FIND(".",D9,FIND(".",D9)+1)+1)))+255-VALUE(RIGHT(F9,LEN(F9)-FIND(".",F9,FIND(".",F9,FIND(".",F9)+1)+1)))-1)</f>
        <v>10.3.50.254</v>
      </c>
      <c r="I9" s="7">
        <v>40</v>
      </c>
      <c r="J9">
        <v>41</v>
      </c>
      <c r="K9">
        <v>10</v>
      </c>
      <c r="L9" s="12"/>
    </row>
    <row r="10" spans="1:27" ht="15.75" customHeight="1" x14ac:dyDescent="0.25">
      <c r="A10" s="3"/>
      <c r="B10" s="3"/>
      <c r="C10"/>
      <c r="D10"/>
      <c r="E10"/>
      <c r="F10"/>
      <c r="G10"/>
      <c r="H10"/>
      <c r="I10"/>
      <c r="J10"/>
      <c r="K10"/>
      <c r="L10" s="12"/>
    </row>
    <row r="11" spans="1:27" ht="15.75" customHeight="1" x14ac:dyDescent="0.25">
      <c r="A11" s="6" t="s">
        <v>38</v>
      </c>
      <c r="B11" s="6" t="s">
        <v>55</v>
      </c>
      <c r="C11" s="6" t="s">
        <v>56</v>
      </c>
      <c r="D11"/>
      <c r="E11"/>
      <c r="F11"/>
      <c r="G11"/>
      <c r="H11"/>
      <c r="I11"/>
      <c r="J11"/>
      <c r="K11"/>
      <c r="L11" s="12"/>
    </row>
    <row r="12" spans="1:27" ht="15.75" customHeight="1" x14ac:dyDescent="0.25">
      <c r="A12" s="7" t="s">
        <v>49</v>
      </c>
      <c r="B12" s="7">
        <v>10</v>
      </c>
      <c r="C12" s="7" t="str">
        <f>$A$2&amp;"."&amp;$A$2&amp;"."&amp;$A$2&amp;"."&amp;B12</f>
        <v>3.3.3.10</v>
      </c>
      <c r="D12"/>
      <c r="E12"/>
      <c r="F12"/>
      <c r="G12"/>
      <c r="H12"/>
      <c r="I12"/>
      <c r="J12"/>
      <c r="K12"/>
      <c r="L12" s="12"/>
    </row>
    <row r="13" spans="1:27" ht="15.75" customHeight="1" x14ac:dyDescent="0.25">
      <c r="A13" s="7" t="s">
        <v>51</v>
      </c>
      <c r="B13" s="7">
        <v>20</v>
      </c>
      <c r="C13" s="7" t="str">
        <f t="shared" ref="C13:C16" si="3">$A$2&amp;"."&amp;$A$2&amp;"."&amp;$A$2&amp;"."&amp;B13</f>
        <v>3.3.3.20</v>
      </c>
      <c r="D13"/>
      <c r="E13"/>
      <c r="F13"/>
      <c r="G13"/>
      <c r="H13"/>
      <c r="I13"/>
      <c r="J13"/>
      <c r="K13"/>
      <c r="L13" s="12"/>
    </row>
    <row r="14" spans="1:27" ht="15.75" customHeight="1" x14ac:dyDescent="0.25">
      <c r="A14" s="7" t="s">
        <v>52</v>
      </c>
      <c r="B14" s="7">
        <v>30</v>
      </c>
      <c r="C14" s="7" t="str">
        <f t="shared" si="3"/>
        <v>3.3.3.30</v>
      </c>
      <c r="D14"/>
      <c r="E14"/>
      <c r="F14"/>
      <c r="G14"/>
      <c r="H14"/>
      <c r="I14"/>
      <c r="J14"/>
      <c r="K14"/>
      <c r="L14" s="12"/>
    </row>
    <row r="15" spans="1:27" ht="15.75" customHeight="1" x14ac:dyDescent="0.25">
      <c r="A15" s="7" t="s">
        <v>53</v>
      </c>
      <c r="B15" s="7">
        <v>40</v>
      </c>
      <c r="C15" s="7" t="str">
        <f t="shared" si="3"/>
        <v>3.3.3.40</v>
      </c>
      <c r="D15"/>
      <c r="E15"/>
      <c r="F15"/>
      <c r="G15"/>
      <c r="H15"/>
      <c r="I15"/>
      <c r="J15"/>
      <c r="K15"/>
      <c r="L15" s="12"/>
    </row>
    <row r="16" spans="1:27" ht="15.75" customHeight="1" x14ac:dyDescent="0.25">
      <c r="A16" s="42" t="s">
        <v>54</v>
      </c>
      <c r="B16" s="7">
        <v>50</v>
      </c>
      <c r="C16" s="42" t="str">
        <f t="shared" si="3"/>
        <v>3.3.3.50</v>
      </c>
      <c r="D16"/>
      <c r="E16"/>
      <c r="F16"/>
      <c r="G16"/>
      <c r="H16"/>
      <c r="I16"/>
      <c r="J16"/>
      <c r="K16"/>
      <c r="L16" s="12"/>
    </row>
    <row r="17" spans="1:17" ht="15.75" customHeight="1" x14ac:dyDescent="0.25"/>
    <row r="18" spans="1:17" ht="15.75" customHeight="1" x14ac:dyDescent="0.25">
      <c r="A18" s="12" t="s">
        <v>57</v>
      </c>
      <c r="B18" s="12" t="s">
        <v>38</v>
      </c>
      <c r="C18" s="12" t="s">
        <v>58</v>
      </c>
      <c r="D18" s="12" t="s">
        <v>43</v>
      </c>
      <c r="E18" s="12" t="s">
        <v>59</v>
      </c>
      <c r="F18" s="12" t="s">
        <v>60</v>
      </c>
      <c r="G18" s="12" t="s">
        <v>61</v>
      </c>
      <c r="H18" s="12" t="s">
        <v>62</v>
      </c>
      <c r="I18" s="12" t="s">
        <v>63</v>
      </c>
      <c r="J18" s="12" t="s">
        <v>64</v>
      </c>
    </row>
    <row r="19" spans="1:17" ht="15.75" customHeight="1" x14ac:dyDescent="0.25">
      <c r="A19" s="12" t="s">
        <v>65</v>
      </c>
      <c r="B19" s="12" t="s">
        <v>49</v>
      </c>
      <c r="C19" s="12" t="str">
        <f>172&amp;"."&amp;16&amp;"."&amp;H19&amp;"."&amp;$A$2</f>
        <v>172.16.10.3</v>
      </c>
      <c r="D19" s="12" t="s">
        <v>50</v>
      </c>
      <c r="E19" s="12" t="str">
        <f t="shared" ref="E19:E23" si="4">$C$2</f>
        <v>3.3.3.0</v>
      </c>
      <c r="F19"/>
      <c r="G19" s="12" t="s">
        <v>66</v>
      </c>
      <c r="H19" s="12">
        <v>10</v>
      </c>
      <c r="I19" s="29" t="b">
        <f>'Site 1 (HUB)'!I19</f>
        <v>1</v>
      </c>
      <c r="J19"/>
    </row>
    <row r="20" spans="1:17" ht="15.75" customHeight="1" x14ac:dyDescent="0.25">
      <c r="A20" s="12" t="s">
        <v>67</v>
      </c>
      <c r="B20" s="12" t="s">
        <v>51</v>
      </c>
      <c r="C20" s="12" t="str">
        <f>172&amp;"."&amp;16&amp;"."&amp;H20&amp;"."&amp;$A$2</f>
        <v>172.16.20.3</v>
      </c>
      <c r="D20" s="12" t="s">
        <v>50</v>
      </c>
      <c r="E20" s="12" t="str">
        <f t="shared" si="4"/>
        <v>3.3.3.0</v>
      </c>
      <c r="F20"/>
      <c r="G20" s="12" t="s">
        <v>66</v>
      </c>
      <c r="H20" s="12">
        <v>20</v>
      </c>
      <c r="I20" s="29" t="b" cm="1">
        <f>'Site 1 (HUB)'!I20</f>
        <v>0</v>
      </c>
      <c r="J20"/>
    </row>
    <row r="21" spans="1:17" ht="15.75" customHeight="1" x14ac:dyDescent="0.25">
      <c r="A21" s="12" t="s">
        <v>68</v>
      </c>
      <c r="B21" s="12" t="s">
        <v>52</v>
      </c>
      <c r="C21" s="12" t="str">
        <f>172&amp;"."&amp;16&amp;"."&amp;H21&amp;"."&amp;$A$2</f>
        <v>172.16.30.3</v>
      </c>
      <c r="D21" s="12" t="s">
        <v>50</v>
      </c>
      <c r="E21" s="12" t="str">
        <f t="shared" si="4"/>
        <v>3.3.3.0</v>
      </c>
      <c r="F21"/>
      <c r="G21" s="12" t="s">
        <v>66</v>
      </c>
      <c r="H21" s="12">
        <v>30</v>
      </c>
      <c r="I21" s="29" t="b">
        <f>'Site 1 (HUB)'!I21</f>
        <v>1</v>
      </c>
      <c r="J21"/>
    </row>
    <row r="22" spans="1:17" ht="15.75" customHeight="1" x14ac:dyDescent="0.25">
      <c r="A22" s="43" t="s">
        <v>69</v>
      </c>
      <c r="B22" s="43" t="s">
        <v>53</v>
      </c>
      <c r="C22" s="43" t="str">
        <f t="shared" ref="C22:C23" si="5">172&amp;"."&amp;16&amp;"."&amp;H22&amp;"."&amp;$A$2</f>
        <v>172.16.40.3</v>
      </c>
      <c r="D22" s="43" t="s">
        <v>50</v>
      </c>
      <c r="E22" s="46" t="str">
        <f t="shared" si="4"/>
        <v>3.3.3.0</v>
      </c>
      <c r="F22" s="47"/>
      <c r="G22" s="43" t="s">
        <v>66</v>
      </c>
      <c r="H22" s="43">
        <v>40</v>
      </c>
      <c r="I22" s="48" t="b">
        <f>'Site 1 (HUB)'!I22</f>
        <v>1</v>
      </c>
      <c r="J22" s="47"/>
    </row>
    <row r="23" spans="1:17" ht="15.75" customHeight="1" x14ac:dyDescent="0.25">
      <c r="A23" s="44" t="s">
        <v>132</v>
      </c>
      <c r="B23" s="43" t="s">
        <v>54</v>
      </c>
      <c r="C23" s="43" t="str">
        <f t="shared" si="5"/>
        <v>172.16.40.3</v>
      </c>
      <c r="D23" s="43" t="s">
        <v>50</v>
      </c>
      <c r="E23" s="46" t="str">
        <f t="shared" si="4"/>
        <v>3.3.3.0</v>
      </c>
      <c r="F23" s="47"/>
      <c r="G23" s="43" t="s">
        <v>66</v>
      </c>
      <c r="H23" s="43">
        <v>40</v>
      </c>
      <c r="I23" s="48" t="b">
        <f>'Site 1 (HUB)'!I23</f>
        <v>1</v>
      </c>
      <c r="J23" s="47"/>
    </row>
    <row r="24" spans="1:17" ht="15.75" customHeight="1" x14ac:dyDescent="0.25"/>
    <row r="25" spans="1:17" ht="16.5" customHeight="1" x14ac:dyDescent="0.25">
      <c r="A25" s="12" t="s">
        <v>0</v>
      </c>
      <c r="B25" s="12" t="s">
        <v>3</v>
      </c>
      <c r="C25" s="12" t="s">
        <v>4</v>
      </c>
      <c r="D25" s="12" t="s">
        <v>5</v>
      </c>
      <c r="E25" s="12" t="s">
        <v>6</v>
      </c>
      <c r="F25" s="12" t="s">
        <v>70</v>
      </c>
      <c r="G25" s="1" t="s">
        <v>71</v>
      </c>
      <c r="H25" s="1" t="s">
        <v>72</v>
      </c>
    </row>
    <row r="26" spans="1:17" ht="15.75" customHeight="1" x14ac:dyDescent="0.25">
      <c r="A26" s="12">
        <f>$A$2</f>
        <v>3</v>
      </c>
      <c r="B26" s="12" t="str">
        <f>$D$2</f>
        <v>admin</v>
      </c>
      <c r="C26" s="12" t="str">
        <f>$E$2</f>
        <v>$9$0nNdTjfcaOQFlP$4VgON16XmZXlfGr4BcOzEN7OoRxfPIAcXDQ0afwx67k</v>
      </c>
      <c r="D26" s="12" t="str">
        <f>$F$2</f>
        <v>0 - 15</v>
      </c>
      <c r="E26" s="12" t="str">
        <f>$G$2</f>
        <v>$9$0nNdTjfcaOQFlP$4VgON16XmZXlfGr4BcOzEN7OoRxfPIAcXDQ0afwx67k</v>
      </c>
      <c r="F26" s="12">
        <v>2</v>
      </c>
      <c r="G26" s="2" t="s">
        <v>124</v>
      </c>
      <c r="H26" s="47" t="s">
        <v>127</v>
      </c>
    </row>
    <row r="27" spans="1:17" ht="15.75" customHeight="1" x14ac:dyDescent="0.25"/>
    <row r="28" spans="1:17" ht="27.9" customHeight="1" x14ac:dyDescent="0.25">
      <c r="A28" s="13" t="s">
        <v>73</v>
      </c>
      <c r="B28" s="13" t="s">
        <v>74</v>
      </c>
      <c r="C28" s="13" t="s">
        <v>75</v>
      </c>
      <c r="D28" s="13" t="s">
        <v>42</v>
      </c>
      <c r="E28" s="13" t="s">
        <v>43</v>
      </c>
      <c r="F28" s="13" t="s">
        <v>76</v>
      </c>
      <c r="G28" s="13" t="s">
        <v>77</v>
      </c>
      <c r="H28" s="13" t="s">
        <v>78</v>
      </c>
      <c r="I28" s="13" t="s">
        <v>79</v>
      </c>
      <c r="J28" s="13" t="s">
        <v>1</v>
      </c>
      <c r="K28" s="13" t="s">
        <v>80</v>
      </c>
      <c r="L28" s="25" t="s">
        <v>81</v>
      </c>
      <c r="M28" s="1" t="s">
        <v>17</v>
      </c>
      <c r="N28" s="1" t="s">
        <v>18</v>
      </c>
      <c r="O28" s="1" t="s">
        <v>19</v>
      </c>
      <c r="P28" s="1" t="s">
        <v>23</v>
      </c>
      <c r="Q28" s="1" t="s">
        <v>24</v>
      </c>
    </row>
    <row r="29" spans="1:17" ht="45" customHeight="1" x14ac:dyDescent="0.25">
      <c r="A29" s="7">
        <f t="shared" ref="A29:A30" si="6">ROW()-28</f>
        <v>1</v>
      </c>
      <c r="B29" s="7">
        <f>$B$5</f>
        <v>10</v>
      </c>
      <c r="C29" s="7" t="str">
        <f>10&amp;"."&amp;$A$2&amp;"."&amp;$B$5&amp;"."&amp;(A29+1)</f>
        <v>10.3.10.2</v>
      </c>
      <c r="D29" s="7" t="str">
        <f>$E$5</f>
        <v>10.3.10.1</v>
      </c>
      <c r="E29" s="7" t="str">
        <f>$F$5</f>
        <v>255.255.255.0</v>
      </c>
      <c r="F29" s="7">
        <v>49</v>
      </c>
      <c r="G29" s="7">
        <v>1</v>
      </c>
      <c r="H29" s="10">
        <v>1</v>
      </c>
      <c r="I29" s="7" t="s">
        <v>128</v>
      </c>
      <c r="J29" s="2" t="s">
        <v>126</v>
      </c>
      <c r="K29" s="2">
        <f>IF($A29=1,F29-G29-H29*$F$26-2-IF(OR(UPPER($G$26)="SPAN",UPPER($G$26)="RSPAN"),1,0),F29-G29-(1+H29)*$F$26-1)</f>
        <v>43</v>
      </c>
      <c r="M29" s="31"/>
      <c r="N29" s="31"/>
      <c r="O29" s="31"/>
      <c r="P29" s="31"/>
      <c r="Q29" s="31"/>
    </row>
    <row r="30" spans="1:17" ht="15.75" customHeight="1" x14ac:dyDescent="0.25">
      <c r="A30" s="7">
        <f t="shared" si="6"/>
        <v>2</v>
      </c>
      <c r="B30" s="7">
        <f>$B$5</f>
        <v>10</v>
      </c>
      <c r="C30" s="7" t="str">
        <f>10&amp;"."&amp;$A$2&amp;"."&amp;$B$5&amp;"."&amp;(A30+1)</f>
        <v>10.3.10.3</v>
      </c>
      <c r="D30" s="7" t="str">
        <f>$E$5</f>
        <v>10.3.10.1</v>
      </c>
      <c r="E30" s="7" t="str">
        <f>$F$5</f>
        <v>255.255.255.0</v>
      </c>
      <c r="F30" s="7">
        <v>11</v>
      </c>
      <c r="G30" s="7">
        <v>1</v>
      </c>
      <c r="H30" s="7">
        <v>0</v>
      </c>
      <c r="I30" s="41" t="s">
        <v>129</v>
      </c>
      <c r="J30" s="2" t="s">
        <v>25</v>
      </c>
      <c r="K30" s="2">
        <f>IF($A30=1,F30-G30-H30*$F$26-2-IF(OR(UPPER($G$26)="SPAN",UPPER($G$26)="RSPAN"),1,0),F30-G30-(1+H30)*$F$26-1)</f>
        <v>7</v>
      </c>
      <c r="M30" s="31"/>
      <c r="N30" s="31"/>
      <c r="O30" s="31"/>
      <c r="P30" s="31"/>
      <c r="Q30" s="31"/>
    </row>
    <row r="31" spans="1:17" ht="15.75" customHeight="1" x14ac:dyDescent="0.25">
      <c r="M31" s="31"/>
      <c r="N31" s="31"/>
      <c r="O31" s="31"/>
      <c r="P31" s="31"/>
      <c r="Q31" s="31"/>
    </row>
    <row r="32" spans="1:17" ht="15.75" customHeight="1" x14ac:dyDescent="0.25">
      <c r="M32" s="31"/>
      <c r="N32" s="31"/>
      <c r="O32" s="31"/>
      <c r="P32" s="31"/>
      <c r="Q32" s="31"/>
    </row>
    <row r="33" spans="13:17" ht="15.75" customHeight="1" x14ac:dyDescent="0.25">
      <c r="M33" s="31"/>
      <c r="N33" s="31"/>
      <c r="O33" s="31"/>
      <c r="P33" s="31"/>
      <c r="Q33" s="31"/>
    </row>
    <row r="34" spans="13:17" ht="15.75" customHeight="1" x14ac:dyDescent="0.25">
      <c r="M34" s="31"/>
      <c r="N34" s="31"/>
      <c r="O34" s="31"/>
      <c r="P34" s="31"/>
      <c r="Q34" s="31"/>
    </row>
    <row r="35" spans="13:17" ht="15.75" customHeight="1" x14ac:dyDescent="0.25">
      <c r="M35" s="31"/>
      <c r="N35" s="31"/>
      <c r="O35" s="31"/>
      <c r="P35" s="31"/>
      <c r="Q35" s="31"/>
    </row>
    <row r="36" spans="13:17" ht="15.75" customHeight="1" x14ac:dyDescent="0.25">
      <c r="M36" s="31"/>
      <c r="N36" s="31"/>
      <c r="O36" s="31"/>
      <c r="P36" s="31"/>
      <c r="Q36" s="31"/>
    </row>
    <row r="37" spans="13:17" ht="15.75" customHeight="1" x14ac:dyDescent="0.25">
      <c r="M37" s="31"/>
      <c r="N37" s="31"/>
      <c r="O37" s="31"/>
      <c r="P37" s="31"/>
      <c r="Q37" s="31"/>
    </row>
    <row r="38" spans="13:17" ht="15.75" customHeight="1" x14ac:dyDescent="0.25">
      <c r="M38" s="31"/>
      <c r="N38" s="31"/>
      <c r="O38" s="31"/>
      <c r="P38" s="31"/>
      <c r="Q38" s="31"/>
    </row>
    <row r="39" spans="13:17" ht="15.75" customHeight="1" x14ac:dyDescent="0.25">
      <c r="M39" s="31"/>
      <c r="N39" s="31"/>
      <c r="O39" s="31"/>
      <c r="P39" s="31"/>
      <c r="Q39" s="31"/>
    </row>
    <row r="40" spans="13:17" ht="15.75" customHeight="1" x14ac:dyDescent="0.25">
      <c r="M40" s="31"/>
      <c r="N40" s="31"/>
      <c r="O40" s="31"/>
      <c r="P40" s="31"/>
      <c r="Q40" s="31"/>
    </row>
    <row r="41" spans="13:17" ht="15.75" customHeight="1" x14ac:dyDescent="0.25">
      <c r="M41" s="31"/>
      <c r="N41" s="31"/>
      <c r="O41" s="31"/>
      <c r="P41" s="31"/>
      <c r="Q41" s="31"/>
    </row>
    <row r="42" spans="13:17" ht="15.75" customHeight="1" x14ac:dyDescent="0.25">
      <c r="M42" s="31"/>
      <c r="N42" s="31"/>
      <c r="O42" s="31"/>
      <c r="P42" s="31"/>
      <c r="Q42" s="31"/>
    </row>
    <row r="43" spans="13:17" ht="15.75" customHeight="1" x14ac:dyDescent="0.25">
      <c r="M43" s="31"/>
      <c r="N43" s="31"/>
      <c r="O43" s="31"/>
      <c r="P43" s="31"/>
      <c r="Q43" s="31"/>
    </row>
    <row r="44" spans="13:17" ht="15.75" customHeight="1" x14ac:dyDescent="0.25">
      <c r="M44" s="31"/>
      <c r="N44" s="31"/>
      <c r="O44" s="31"/>
      <c r="P44" s="31"/>
      <c r="Q44" s="31"/>
    </row>
    <row r="45" spans="13:17" ht="15.75" customHeight="1" x14ac:dyDescent="0.25">
      <c r="M45" s="31"/>
      <c r="N45" s="31"/>
      <c r="O45" s="31"/>
      <c r="P45" s="31"/>
      <c r="Q45" s="31"/>
    </row>
    <row r="46" spans="13:17" ht="15.75" customHeight="1" x14ac:dyDescent="0.25">
      <c r="M46" s="31"/>
      <c r="N46" s="31"/>
      <c r="O46" s="31"/>
      <c r="P46" s="31"/>
      <c r="Q46" s="31"/>
    </row>
    <row r="47" spans="13:17" ht="15.75" customHeight="1" x14ac:dyDescent="0.25">
      <c r="M47" s="31"/>
      <c r="N47" s="31"/>
      <c r="O47" s="31"/>
      <c r="P47" s="31"/>
      <c r="Q47" s="31"/>
    </row>
    <row r="48" spans="13:17" ht="15.75" customHeight="1" x14ac:dyDescent="0.25">
      <c r="M48" s="31"/>
      <c r="N48" s="31"/>
      <c r="O48" s="31"/>
      <c r="P48" s="31"/>
      <c r="Q48" s="31"/>
    </row>
    <row r="49" spans="13:17" ht="15.75" customHeight="1" x14ac:dyDescent="0.25">
      <c r="M49" s="31"/>
      <c r="N49" s="31"/>
      <c r="O49" s="31"/>
      <c r="P49" s="31"/>
      <c r="Q49" s="31"/>
    </row>
    <row r="50" spans="13:17" ht="15.75" customHeight="1" x14ac:dyDescent="0.25">
      <c r="M50" s="31"/>
      <c r="N50" s="31"/>
      <c r="O50" s="31"/>
      <c r="P50" s="31"/>
      <c r="Q50" s="31"/>
    </row>
    <row r="51" spans="13:17" ht="15.75" customHeight="1" x14ac:dyDescent="0.25">
      <c r="M51" s="31"/>
      <c r="N51" s="31"/>
      <c r="O51" s="31"/>
      <c r="P51" s="31"/>
      <c r="Q51" s="31"/>
    </row>
    <row r="52" spans="13:17" ht="15.75" customHeight="1" x14ac:dyDescent="0.25">
      <c r="M52" s="31"/>
      <c r="N52" s="31"/>
      <c r="O52" s="31"/>
      <c r="P52" s="31"/>
      <c r="Q52" s="31"/>
    </row>
    <row r="53" spans="13:17" ht="15.75" customHeight="1" x14ac:dyDescent="0.25">
      <c r="M53" s="31"/>
      <c r="N53" s="31"/>
      <c r="O53" s="31"/>
      <c r="P53" s="31"/>
      <c r="Q53" s="31"/>
    </row>
    <row r="54" spans="13:17" ht="15.75" customHeight="1" x14ac:dyDescent="0.25">
      <c r="M54" s="31"/>
      <c r="N54" s="31"/>
      <c r="O54" s="31"/>
      <c r="P54" s="31"/>
      <c r="Q54" s="31"/>
    </row>
    <row r="55" spans="13:17" ht="15.75" customHeight="1" x14ac:dyDescent="0.25">
      <c r="M55" s="31"/>
      <c r="N55" s="31"/>
      <c r="O55" s="31"/>
      <c r="P55" s="31"/>
      <c r="Q55" s="31"/>
    </row>
    <row r="56" spans="13:17" ht="15.75" customHeight="1" x14ac:dyDescent="0.25">
      <c r="M56" s="31"/>
      <c r="N56" s="31"/>
      <c r="O56" s="31"/>
      <c r="P56" s="31"/>
      <c r="Q56" s="31"/>
    </row>
    <row r="57" spans="13:17" ht="15.75" customHeight="1" x14ac:dyDescent="0.25">
      <c r="M57" s="31"/>
      <c r="N57" s="31"/>
      <c r="O57" s="31"/>
      <c r="P57" s="31"/>
      <c r="Q57" s="31"/>
    </row>
    <row r="58" spans="13:17" ht="15.75" customHeight="1" x14ac:dyDescent="0.25">
      <c r="M58" s="31"/>
      <c r="N58" s="31"/>
      <c r="O58" s="31"/>
      <c r="P58" s="31"/>
      <c r="Q58" s="31"/>
    </row>
    <row r="59" spans="13:17" ht="15.75" customHeight="1" x14ac:dyDescent="0.25">
      <c r="M59" s="31"/>
      <c r="N59" s="31"/>
      <c r="O59" s="31"/>
      <c r="P59" s="31"/>
      <c r="Q59" s="31"/>
    </row>
    <row r="60" spans="13:17" ht="15.75" customHeight="1" x14ac:dyDescent="0.25">
      <c r="M60" s="31"/>
      <c r="N60" s="31"/>
      <c r="O60" s="31"/>
      <c r="P60" s="31"/>
      <c r="Q60" s="31"/>
    </row>
    <row r="61" spans="13:17" ht="15.75" customHeight="1" x14ac:dyDescent="0.25"/>
    <row r="62" spans="13:17" ht="15.75" customHeight="1" x14ac:dyDescent="0.25"/>
    <row r="63" spans="13:17" ht="15.75" customHeight="1" x14ac:dyDescent="0.25"/>
    <row r="64" spans="13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dataValidations count="9">
    <dataValidation type="list" sqref="G26" xr:uid="{C3ECF952-F6F6-411D-8935-CDC103B5D4EC}">
      <formula1>"SPAN,RSPAN,ERSPAN"</formula1>
    </dataValidation>
    <dataValidation type="list" sqref="L2" xr:uid="{8E5E9B82-B6E9-4F50-802A-79C5281D4523}">
      <formula1>"OFF,STRICT,LOOSE"</formula1>
    </dataValidation>
    <dataValidation type="list" sqref="O2:P2 S2 M29:N60" xr:uid="{DC4FD792-C951-42B9-9398-EE752636FA33}">
      <formula1>"OLD,NEW"</formula1>
    </dataValidation>
    <dataValidation type="list" sqref="Q2 O29:O60" xr:uid="{C7885E03-9EAB-4488-B2C3-6DDA152BCD1E}">
      <formula1>"LEGACY,AUTH,ACCESS_SESSION"</formula1>
    </dataValidation>
    <dataValidation type="list" sqref="R2" xr:uid="{F0E34391-1AAD-46B7-8AB3-1044AED733C6}">
      <formula1>"CLASSIC,NAMED"</formula1>
    </dataValidation>
    <dataValidation type="list" sqref="T2" xr:uid="{B8A0B74E-656E-434E-A62B-D696F296B01C}">
      <formula1>"IKEV1,IKEV2"</formula1>
    </dataValidation>
    <dataValidation type="list" sqref="U2 P29:P60" xr:uid="{D06C47C8-040C-442D-B082-B0E002F6446A}">
      <formula1>"AUTO,5,8,9"</formula1>
    </dataValidation>
    <dataValidation type="list" sqref="V2 Q29:Q60" xr:uid="{2B15C247-115A-480F-9C6D-9FE8FF7A1C49}">
      <formula1>"AUTO,DOT1Q_CMD,NO_CMD"</formula1>
    </dataValidation>
    <dataValidation type="custom" allowBlank="1" showInputMessage="1" showErrorMessage="1" sqref="I29:I30" xr:uid="{076D1031-AA49-412C-8A13-87A449FBC603}">
      <formula1>IF(I29="",TRUE,SUM(--_xlfn.TEXTAFTER(_xlfn.TEXTSPLIT(I29,"-"),"."))&lt;=K29)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F17" sqref="F17"/>
    </sheetView>
  </sheetViews>
  <sheetFormatPr defaultRowHeight="13.2" x14ac:dyDescent="0.25"/>
  <cols>
    <col min="1" max="1" width="15" customWidth="1"/>
    <col min="2" max="2" width="20" customWidth="1"/>
    <col min="3" max="3" width="14" customWidth="1"/>
    <col min="4" max="4" width="20" customWidth="1"/>
    <col min="5" max="5" width="12" customWidth="1"/>
    <col min="7" max="7" width="18" customWidth="1"/>
    <col min="8" max="8" width="58" customWidth="1"/>
  </cols>
  <sheetData>
    <row r="1" spans="1:8" x14ac:dyDescent="0.25">
      <c r="A1" s="15" t="s">
        <v>59</v>
      </c>
      <c r="B1" s="15" t="s">
        <v>60</v>
      </c>
      <c r="C1" s="15" t="s">
        <v>83</v>
      </c>
      <c r="D1" s="15" t="s">
        <v>84</v>
      </c>
      <c r="E1" s="15" t="s">
        <v>85</v>
      </c>
      <c r="G1" s="17" t="s">
        <v>86</v>
      </c>
      <c r="H1" s="17" t="s">
        <v>87</v>
      </c>
    </row>
    <row r="2" spans="1:8" ht="26.4" x14ac:dyDescent="0.25">
      <c r="A2" s="16" t="s">
        <v>49</v>
      </c>
      <c r="B2" s="16" t="s">
        <v>9</v>
      </c>
      <c r="C2" s="16" t="s">
        <v>88</v>
      </c>
      <c r="D2" s="16">
        <v>67</v>
      </c>
      <c r="E2" s="16" t="s">
        <v>89</v>
      </c>
      <c r="G2" s="18" t="s">
        <v>90</v>
      </c>
      <c r="H2" s="18" t="s">
        <v>91</v>
      </c>
    </row>
    <row r="3" spans="1:8" ht="39.6" x14ac:dyDescent="0.25">
      <c r="A3" s="16" t="s">
        <v>49</v>
      </c>
      <c r="B3" s="16" t="s">
        <v>49</v>
      </c>
      <c r="C3" s="16" t="s">
        <v>92</v>
      </c>
      <c r="D3" s="16" t="s">
        <v>93</v>
      </c>
      <c r="E3" s="16" t="s">
        <v>89</v>
      </c>
      <c r="G3" s="18" t="s">
        <v>94</v>
      </c>
      <c r="H3" s="18" t="s">
        <v>95</v>
      </c>
    </row>
    <row r="4" spans="1:8" ht="26.4" x14ac:dyDescent="0.25">
      <c r="A4" s="16" t="s">
        <v>51</v>
      </c>
      <c r="B4" s="16" t="s">
        <v>9</v>
      </c>
      <c r="C4" s="16" t="s">
        <v>88</v>
      </c>
      <c r="D4" s="16">
        <v>67</v>
      </c>
      <c r="E4" s="16" t="s">
        <v>89</v>
      </c>
      <c r="G4" s="18" t="s">
        <v>96</v>
      </c>
      <c r="H4" s="18" t="s">
        <v>97</v>
      </c>
    </row>
    <row r="5" spans="1:8" ht="26.4" x14ac:dyDescent="0.25">
      <c r="A5" s="16" t="s">
        <v>51</v>
      </c>
      <c r="B5" s="16" t="s">
        <v>51</v>
      </c>
      <c r="C5" s="16" t="s">
        <v>92</v>
      </c>
      <c r="D5" s="16" t="s">
        <v>93</v>
      </c>
      <c r="E5" s="16" t="s">
        <v>98</v>
      </c>
      <c r="G5" s="18" t="s">
        <v>9</v>
      </c>
      <c r="H5" s="18" t="s">
        <v>99</v>
      </c>
    </row>
    <row r="6" spans="1:8" ht="26.4" x14ac:dyDescent="0.25">
      <c r="A6" s="16" t="s">
        <v>51</v>
      </c>
      <c r="B6" s="16" t="s">
        <v>100</v>
      </c>
      <c r="C6" s="16" t="s">
        <v>88</v>
      </c>
      <c r="D6" s="16">
        <v>53</v>
      </c>
      <c r="E6" s="16" t="s">
        <v>89</v>
      </c>
      <c r="G6" s="18" t="s">
        <v>101</v>
      </c>
      <c r="H6" s="18" t="s">
        <v>102</v>
      </c>
    </row>
    <row r="7" spans="1:8" ht="26.4" x14ac:dyDescent="0.25">
      <c r="A7" s="16" t="s">
        <v>51</v>
      </c>
      <c r="B7" s="16" t="s">
        <v>100</v>
      </c>
      <c r="C7" s="16" t="s">
        <v>103</v>
      </c>
      <c r="D7" s="16">
        <v>53</v>
      </c>
      <c r="E7" s="16" t="s">
        <v>89</v>
      </c>
      <c r="G7" s="18" t="s">
        <v>104</v>
      </c>
      <c r="H7" s="18" t="s">
        <v>105</v>
      </c>
    </row>
    <row r="8" spans="1:8" ht="39.6" x14ac:dyDescent="0.25">
      <c r="A8" s="16" t="s">
        <v>51</v>
      </c>
      <c r="B8" s="16" t="s">
        <v>106</v>
      </c>
      <c r="C8" s="16" t="s">
        <v>103</v>
      </c>
      <c r="D8" s="16">
        <v>80</v>
      </c>
      <c r="E8" s="16" t="s">
        <v>89</v>
      </c>
      <c r="G8" s="18" t="s">
        <v>54</v>
      </c>
      <c r="H8" s="18" t="s">
        <v>107</v>
      </c>
    </row>
    <row r="9" spans="1:8" ht="26.4" x14ac:dyDescent="0.25">
      <c r="A9" s="16" t="s">
        <v>51</v>
      </c>
      <c r="B9" s="16" t="s">
        <v>106</v>
      </c>
      <c r="C9" s="16" t="s">
        <v>103</v>
      </c>
      <c r="D9" s="16">
        <v>443</v>
      </c>
      <c r="E9" s="16" t="s">
        <v>89</v>
      </c>
      <c r="G9" s="18" t="s">
        <v>108</v>
      </c>
      <c r="H9" s="18" t="s">
        <v>109</v>
      </c>
    </row>
    <row r="10" spans="1:8" x14ac:dyDescent="0.25">
      <c r="A10" s="16" t="s">
        <v>52</v>
      </c>
      <c r="B10" s="16" t="s">
        <v>9</v>
      </c>
      <c r="C10" s="16" t="s">
        <v>88</v>
      </c>
      <c r="D10" s="16">
        <v>67</v>
      </c>
      <c r="E10" s="16" t="s">
        <v>89</v>
      </c>
    </row>
    <row r="11" spans="1:8" x14ac:dyDescent="0.25">
      <c r="A11" s="16" t="s">
        <v>52</v>
      </c>
      <c r="B11" s="16" t="s">
        <v>52</v>
      </c>
      <c r="C11" s="16" t="s">
        <v>92</v>
      </c>
      <c r="D11" s="16" t="s">
        <v>93</v>
      </c>
      <c r="E11" s="16" t="s">
        <v>89</v>
      </c>
    </row>
    <row r="12" spans="1:8" x14ac:dyDescent="0.25">
      <c r="A12" s="16" t="s">
        <v>53</v>
      </c>
      <c r="B12" s="16" t="s">
        <v>9</v>
      </c>
      <c r="C12" s="16" t="s">
        <v>88</v>
      </c>
      <c r="D12" s="16">
        <v>67</v>
      </c>
      <c r="E12" s="16" t="s">
        <v>89</v>
      </c>
    </row>
    <row r="13" spans="1:8" x14ac:dyDescent="0.25">
      <c r="A13" s="16" t="s">
        <v>53</v>
      </c>
      <c r="B13" s="16" t="s">
        <v>53</v>
      </c>
      <c r="C13" s="16" t="s">
        <v>92</v>
      </c>
      <c r="D13" s="16" t="s">
        <v>93</v>
      </c>
      <c r="E13" s="16" t="s">
        <v>89</v>
      </c>
    </row>
    <row r="14" spans="1:8" x14ac:dyDescent="0.25">
      <c r="A14" t="s">
        <v>54</v>
      </c>
      <c r="B14" t="s">
        <v>54</v>
      </c>
      <c r="C14" t="s">
        <v>92</v>
      </c>
      <c r="D14" t="s">
        <v>93</v>
      </c>
      <c r="E14" t="s">
        <v>89</v>
      </c>
      <c r="G14" t="s">
        <v>110</v>
      </c>
      <c r="H14" t="s">
        <v>111</v>
      </c>
    </row>
    <row r="15" spans="1:8" x14ac:dyDescent="0.25">
      <c r="G15" t="s">
        <v>112</v>
      </c>
      <c r="H15" t="s">
        <v>113</v>
      </c>
    </row>
  </sheetData>
  <dataValidations count="4">
    <dataValidation type="list" sqref="A2:A201" xr:uid="{00000000-0002-0000-0200-000000000000}">
      <formula1>"MGMT,INET,UNET,PA,MONITORING"</formula1>
    </dataValidation>
    <dataValidation type="list" sqref="B2:B201" xr:uid="{00000000-0002-0000-0200-000001000000}">
      <formula1>"MGMT,INET,UNET,PA,MONITORING,INTERNET,ANY,DNS,DHCP,TACACS,SYSLOG,SELF"</formula1>
    </dataValidation>
    <dataValidation type="list" sqref="C2:C201" xr:uid="{00000000-0002-0000-0200-000002000000}">
      <formula1>"ip,tcp,udp,icmp,gre,esp,ah"</formula1>
    </dataValidation>
    <dataValidation type="list" sqref="E2:E201" xr:uid="{00000000-0002-0000-0200-000003000000}">
      <formula1>"permit,deny"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1 (HUB)</vt:lpstr>
      <vt:lpstr>Site 2</vt:lpstr>
      <vt:lpstr>Site 3</vt:lpstr>
      <vt:lpstr>FLOW_POLICY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yonatan moknen</cp:lastModifiedBy>
  <dcterms:modified xsi:type="dcterms:W3CDTF">2026-09-29T15:25:36Z</dcterms:modified>
</cp:coreProperties>
</file>