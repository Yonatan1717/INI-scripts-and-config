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NO_MPLS_SAD\"/>
    </mc:Choice>
  </mc:AlternateContent>
  <xr:revisionPtr revIDLastSave="0" documentId="13_ncr:1_{7C565F2C-7772-49BA-AD85-4DE7DACEA0B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ite 1 (HUB)" sheetId="1" r:id="rId1"/>
    <sheet name="Site 2" sheetId="2" r:id="rId2"/>
    <sheet name="FLOW_POLIC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2" l="1"/>
  <c r="C23" i="2"/>
  <c r="E22" i="2"/>
  <c r="C22" i="2"/>
  <c r="E21" i="2"/>
  <c r="C21" i="2"/>
  <c r="E20" i="2"/>
  <c r="C20" i="2"/>
  <c r="E19" i="2"/>
  <c r="C19" i="2"/>
  <c r="D9" i="2"/>
  <c r="D8" i="2"/>
  <c r="D7" i="2"/>
  <c r="D6" i="2"/>
  <c r="D5" i="2"/>
  <c r="C19" i="1"/>
  <c r="C20" i="1"/>
  <c r="C21" i="1"/>
  <c r="C22" i="1"/>
  <c r="C23" i="1"/>
  <c r="H5" i="1" a="1"/>
  <c r="H6" i="1" a="1"/>
  <c r="H7" i="1" a="1"/>
  <c r="H8" i="1" a="1"/>
  <c r="H9" i="1" a="1"/>
  <c r="D5" i="1"/>
  <c r="D6" i="1"/>
  <c r="D7" i="1"/>
  <c r="D8" i="1"/>
  <c r="G8" i="1" s="1"/>
  <c r="D9" i="1"/>
  <c r="K30" i="2"/>
  <c r="E30" i="2"/>
  <c r="K29" i="2"/>
  <c r="E29" i="2"/>
  <c r="A29" i="2"/>
  <c r="A26" i="2"/>
  <c r="I23" i="2"/>
  <c r="I22" i="2"/>
  <c r="I21" i="2"/>
  <c r="I20" i="2" a="1"/>
  <c r="I19" i="2" a="1"/>
  <c r="I19" i="2"/>
  <c r="C16" i="2"/>
  <c r="C15" i="2"/>
  <c r="C14" i="2"/>
  <c r="C13" i="2"/>
  <c r="C12" i="2"/>
  <c r="H2" i="2"/>
  <c r="C2" i="2"/>
  <c r="E29" i="1"/>
  <c r="A29" i="1"/>
  <c r="K29" i="1" s="1"/>
  <c r="A26" i="1"/>
  <c r="E21" i="1"/>
  <c r="C16" i="1"/>
  <c r="C15" i="1"/>
  <c r="C14" i="1"/>
  <c r="C13" i="1"/>
  <c r="C12" i="1"/>
  <c r="C2" i="1"/>
  <c r="E23" i="1" s="1"/>
  <c r="H9" i="2" l="1" a="1"/>
  <c r="G9" i="2"/>
  <c r="E9" i="2"/>
  <c r="H8" i="2" a="1"/>
  <c r="G8" i="2"/>
  <c r="E8" i="2"/>
  <c r="H7" i="2" a="1"/>
  <c r="G7" i="2"/>
  <c r="E7" i="2"/>
  <c r="H6" i="2" a="1"/>
  <c r="G6" i="2"/>
  <c r="E6" i="2"/>
  <c r="H5" i="2" a="1"/>
  <c r="G5" i="2" a="1"/>
  <c r="E5" i="2"/>
  <c r="E19" i="1"/>
  <c r="G5" i="1" a="1"/>
  <c r="C29" i="1" s="1"/>
  <c r="E8" i="1"/>
  <c r="L30" i="2"/>
  <c r="L29" i="2"/>
  <c r="E6" i="1"/>
  <c r="G6" i="1"/>
  <c r="E7" i="1"/>
  <c r="G7" i="1"/>
  <c r="E20" i="1"/>
  <c r="E22" i="1"/>
  <c r="E5" i="1"/>
  <c r="D29" i="1" s="1"/>
  <c r="E9" i="1"/>
  <c r="G9" i="1"/>
  <c r="L29" i="1" s="1"/>
  <c r="C30" i="2" l="1"/>
  <c r="C29" i="2"/>
  <c r="D30" i="2"/>
  <c r="D2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<sst xmlns="http://schemas.openxmlformats.org/spreadsheetml/2006/main" count="291" uniqueCount="96">
  <si>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</si>
  <si>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</si>
  <si>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</si>
  <si>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</si>
  <si>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</si>
  <si>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</si>
  <si>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</si>
  <si>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</si>
  <si>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</si>
  <si>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</si>
  <si>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tacacs_server_ip</t>
  </si>
  <si>
    <t>syslog_server_ip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</si>
  <si>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</si>
  <si>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</si>
  <si>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</si>
  <si>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</si>
  <si>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</si>
  <si>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</si>
  <si>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</si>
  <si>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</si>
  <si>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</si>
  <si>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</si>
  <si>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</si>
  <si>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</si>
  <si>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</si>
  <si>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</si>
  <si>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</si>
  <si>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</si>
  <si>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</si>
  <si>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</si>
  <si>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INET</t>
  </si>
  <si>
    <t>UNET</t>
  </si>
  <si>
    <t>PA</t>
  </si>
  <si>
    <t>MONITORING</t>
  </si>
  <si>
    <t>255.255.255.0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</si>
  <si>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</si>
  <si>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</si>
  <si>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</si>
  <si>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</si>
  <si>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</si>
  <si>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</si>
  <si>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</si>
  <si>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</si>
  <si>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</si>
  <si>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</si>
  <si>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</si>
  <si>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multipoint</t>
  </si>
  <si>
    <t>tunnel 20</t>
  </si>
  <si>
    <t>tunnel 30</t>
  </si>
  <si>
    <t>tunnel 40</t>
  </si>
  <si>
    <t>tunnel 50</t>
  </si>
  <si>
    <t>etherchan_num</t>
  </si>
  <si>
    <t>span_mode</t>
  </si>
  <si>
    <t>Column1</t>
  </si>
  <si>
    <t>ERSPAN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</si>
  <si>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</si>
  <si>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</si>
  <si>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</si>
  <si>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</si>
  <si>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</si>
  <si>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</si>
  <si>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</si>
  <si>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</si>
  <si>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</si>
  <si>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20.0-40.0-30.0</t>
  </si>
  <si>
    <t>30.1-20.10-40.4</t>
  </si>
  <si>
    <t>urpf_mode</t>
  </si>
  <si>
    <t>OFF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</si>
  <si>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</si>
  <si>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</si>
  <si>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</si>
  <si>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</si>
  <si>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</si>
  <si>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</si>
  <si>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</si>
  <si>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</si>
  <si>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</si>
  <si>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</si>
  <si>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</si>
  <si>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</si>
  <si>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alle kjente nett og VRF-loopbacks i den VRF-en på tvers av sites.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</si>
  <si>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</si>
  <si>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</si>
  <si>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</si>
  <si>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</si>
  <si>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</si>
  <si>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</si>
  <si>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</si>
  <si>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</si>
  <si>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</si>
  <si>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</si>
  <si>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</si>
  <si>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</si>
  <si>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</si>
  <si>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</si>
  <si>
    <t>10.1.10.10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</si>
</sst>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b/>
      <sz val="10"/>
      <color rgb="FFFFFFFF"/>
      <name val="Arial"/>
    </font>
    <font>
      <sz val="11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5" fillId="0" borderId="0" xfId="0" applyFont="1" applyAlignment="1">
      <alignment horizontal="left" vertical="center"/>
    </xf>
    <xf numFmtId="0" fontId="13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4" fillId="0" borderId="0" xfId="0" applyFont="1"/>
    <xf numFmtId="0" fontId="15" fillId="2" borderId="0" xfId="0" applyFont="1" applyFill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6" fillId="0" borderId="0" xfId="0" applyFont="1"/>
    <xf numFmtId="0" fontId="15" fillId="0" borderId="0" xfId="0" applyFont="1"/>
  </cellXfs>
  <cellStyles count="1">
    <cellStyle name="Normal" xfId="0" builtinId="0"/>
  </cellStyles>
  <dxfs count="81"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u val="no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u val="no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u val="none"/>
        <sz val="11"/>
        <color auto="1"/>
        <name val="Arial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u val="no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u val="no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u val="no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u val="no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color auto="1"/>
        <name val="Arial"/>
        <scheme val="none"/>
      </font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numFmt numFmtId="0" formatCode="General"/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b/>
        <strike val="0"/>
        <outline val="0"/>
        <shadow val="0"/>
        <u val="none"/>
        <vertAlign val="baseline"/>
        <sz val="10"/>
        <color auto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M2" headerRowDxfId="80">
  <tableColumns count="13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79"/>
    <tableColumn id="8" xr3:uid="{00000000-0010-0000-0000-000008000000}" name="tacacs_key" dataDxfId="78"/>
    <tableColumn id="9" xr3:uid="{00000000-0010-0000-0000-000009000000}" name="DHCP" dataDxfId="77"/>
    <tableColumn id="10" xr3:uid="{00000000-0010-0000-0000-00000A000000}" name="dns_servers" dataDxfId="76"/>
    <tableColumn id="11" xr3:uid="{1034F7EE-3D03-457B-B6E1-EC9EB8A68ABA}" name="tacacs_server_ip" dataDxfId="75"/>
    <tableColumn id="12" xr3:uid="{17F5A604-6C04-47C4-886F-C1FB4C0FC7CA}" name="syslog_server_ip" dataDxfId="74"/>
    <tableColumn id="13" xr3:uid="{3D895677-0966-4D0C-9B84-8565AE7DC140}" name="urpf_mode" dataDxfId="73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9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 dataDxfId="72">
      <calculatedColumnFormula>10&amp;"."&amp;($A$2)&amp;"."&amp;$B5&amp;"."&amp;0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 dataDxfId="71">
      <calculatedColumnFormula array="1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calculatedColumnFormula>
    </tableColumn>
    <tableColumn id="9" xr3:uid="{00000000-0010-0000-0100-000009000000}" name="antall-res" dataDxfId="70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1:C16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8:J23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 dataDxfId="69">
      <calculatedColumnFormula>172&amp;"."&amp;16&amp;"."&amp;$H19&amp;"."&amp;($A$2)</calculatedColumnFormula>
    </tableColumn>
    <tableColumn id="4" xr3:uid="{00000000-0010-0000-0300-000004000000}" name="mask"/>
    <tableColumn id="5" xr3:uid="{00000000-0010-0000-0300-000005000000}" name="source" dataDxfId="68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5:H26" dataDxfId="67">
  <tableColumns count="8">
    <tableColumn id="1" xr3:uid="{00000000-0010-0000-0400-000001000000}" name="site" dataDxfId="66">
      <calculatedColumnFormula>A2</calculatedColumnFormula>
    </tableColumn>
    <tableColumn id="2" xr3:uid="{00000000-0010-0000-0400-000002000000}" name="brukernavn" dataDxfId="65"/>
    <tableColumn id="4" xr3:uid="{00000000-0010-0000-0400-000004000000}" name="passord" dataDxfId="64"/>
    <tableColumn id="5" xr3:uid="{00000000-0010-0000-0400-000005000000}" name="vty_lines" dataDxfId="63"/>
    <tableColumn id="3" xr3:uid="{00000000-0010-0000-0400-000003000000}" name="secret" dataDxfId="62"/>
    <tableColumn id="6" xr3:uid="{00000000-0010-0000-0400-000006000000}" name="etherchan_num" dataDxfId="61"/>
    <tableColumn id="7" xr3:uid="{00000000-0010-0000-0400-000007000000}" name="span_mode" dataDxfId="60"/>
    <tableColumn id="8" xr3:uid="{00000000-0010-0000-0400-000008000000}" name="Column1" dataDxfId="59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8:L29" totalsRowShown="0">
  <tableColumns count="12">
    <tableColumn id="1" xr3:uid="{00000000-0010-0000-0500-000001000000}" name="SW" dataDxfId="58">
      <calculatedColumnFormula>(ROW())-(ROW()-1)</calculatedColumnFormula>
    </tableColumn>
    <tableColumn id="2" xr3:uid="{00000000-0010-0000-0500-000002000000}" name="MGMT Vlan" dataDxfId="57"/>
    <tableColumn id="3" xr3:uid="{00000000-0010-0000-0500-000003000000}" name="MGMT ip" dataDxfId="56">
      <calculatedColumnFormula>LEFT($G$5,LEN($G$5)-1)&amp;(RIGHT($G$5,1)+A29)</calculatedColumnFormula>
    </tableColumn>
    <tableColumn id="4" xr3:uid="{00000000-0010-0000-0500-000004000000}" name="gateway" dataDxfId="55">
      <calculatedColumnFormula>$E$5</calculatedColumnFormula>
    </tableColumn>
    <tableColumn id="5" xr3:uid="{00000000-0010-0000-0500-000005000000}" name="mask" dataDxfId="54">
      <calculatedColumnFormula>$F$5</calculatedColumnFormula>
    </tableColumn>
    <tableColumn id="10" xr3:uid="{00000000-0010-0000-0500-00000A000000}" name="num_ports_tot" dataDxfId="53"/>
    <tableColumn id="11" xr3:uid="{00000000-0010-0000-0500-00000B000000}" name="skiped_ports" dataDxfId="52"/>
    <tableColumn id="6" xr3:uid="{00000000-0010-0000-0500-000006000000}" name="num_downlink" dataDxfId="51"/>
    <tableColumn id="7" xr3:uid="{00000000-0010-0000-0500-000007000000}" name="vlan-antall" dataDxfId="50"/>
    <tableColumn id="8" xr3:uid="{00000000-0010-0000-0500-000008000000}" name="intf_prefix" dataDxfId="49"/>
    <tableColumn id="9" xr3:uid="{00000000-0010-0000-0500-000009000000}" name="num_port_ledig" dataDxfId="48">
      <calculatedColumnFormula>IF($A29=1,F29-G29-H29*$F$26-2-IF(OR(UPPER($G$26)="SPAN",UPPER($G$26)="RSPAN"),1,0),F29-G29-(1+H29)*$F$26-1)</calculatedColumnFormula>
    </tableColumn>
    <tableColumn id="12" xr3:uid="{00000000-0010-0000-0500-00000C000000}" name="MONITORING ip" dataDxfId="47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L2" headerRowDxfId="46" dataDxfId="45">
  <tableColumns count="12">
    <tableColumn id="1" xr3:uid="{00000000-0010-0000-0600-000001000000}" name="site" dataDxfId="44"/>
    <tableColumn id="2" xr3:uid="{00000000-0010-0000-0600-000002000000}" name="intf_prefix" dataDxfId="43"/>
    <tableColumn id="3" xr3:uid="{00000000-0010-0000-0600-000003000000}" name="router-id" dataDxfId="42"/>
    <tableColumn id="4" xr3:uid="{00000000-0010-0000-0600-000004000000}" name="brukernavn" dataDxfId="41"/>
    <tableColumn id="5" xr3:uid="{00000000-0010-0000-0600-000005000000}" name="passord" dataDxfId="40"/>
    <tableColumn id="6" xr3:uid="{00000000-0010-0000-0600-000006000000}" name="vty_lines" dataDxfId="39"/>
    <tableColumn id="7" xr3:uid="{00000000-0010-0000-0600-000007000000}" name="secret" dataDxfId="38"/>
    <tableColumn id="8" xr3:uid="{00000000-0010-0000-0600-000008000000}" name="tacacs_key" dataDxfId="37">
      <calculatedColumnFormula>'Site 1 (HUB)'!H2</calculatedColumnFormula>
    </tableColumn>
    <tableColumn id="9" xr3:uid="{00000000-0010-0000-0600-000009000000}" name="dns_servers" dataDxfId="36"/>
    <tableColumn id="10" xr3:uid="{00000000-0010-0000-0600-00000A000000}" name="tacacs_server_ip" dataDxfId="1"/>
    <tableColumn id="11" xr3:uid="{00000000-0010-0000-0600-00000B000000}" name="syslog_server_ip" dataDxfId="0"/>
    <tableColumn id="12" xr3:uid="{B53F3502-BEF9-4409-9767-9784EC3E3C30}" name="urpf_mode" dataDxfId="35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8:J23" dataDxfId="34">
  <tableColumns count="10">
    <tableColumn id="1" xr3:uid="{00000000-0010-0000-0700-000001000000}" name="tunnel id" dataDxfId="9"/>
    <tableColumn id="2" xr3:uid="{00000000-0010-0000-0700-000002000000}" name="vrf" dataDxfId="8"/>
    <tableColumn id="3" xr3:uid="{00000000-0010-0000-0700-000003000000}" name="ip address" dataDxfId="7">
      <calculatedColumnFormula>172&amp;"."&amp;16&amp;"."&amp;$H19&amp;"."&amp;($A$2)</calculatedColumnFormula>
    </tableColumn>
    <tableColumn id="4" xr3:uid="{00000000-0010-0000-0700-000004000000}" name="mask" dataDxfId="6"/>
    <tableColumn id="5" xr3:uid="{00000000-0010-0000-0700-000005000000}" name="source" dataDxfId="5">
      <calculatedColumnFormula>$C$2</calculatedColumnFormula>
    </tableColumn>
    <tableColumn id="6" xr3:uid="{00000000-0010-0000-0700-000006000000}" name="destination" dataDxfId="4"/>
    <tableColumn id="7" xr3:uid="{00000000-0010-0000-0700-000007000000}" name="gre mode" dataDxfId="3"/>
    <tableColumn id="8" xr3:uid="{00000000-0010-0000-0700-000008000000}" name="network-id" dataDxfId="2"/>
    <tableColumn id="9" xr3:uid="{00000000-0010-0000-0700-000009000000}" name="ipsec" dataDxfId="33"/>
    <tableColumn id="10" xr3:uid="{00000000-0010-0000-0700-00000A000000}" name="ipsec key" dataDxfId="32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8000000}" name="Tabell13192530" displayName="Tabell13192530" ref="A25:G26" dataDxfId="31">
  <tableColumns count="7">
    <tableColumn id="1" xr3:uid="{00000000-0010-0000-0800-000001000000}" name="site" dataDxfId="30">
      <calculatedColumnFormula>A2</calculatedColumnFormula>
    </tableColumn>
    <tableColumn id="4" xr3:uid="{00000000-0010-0000-0800-000004000000}" name="brukernavn" dataDxfId="29"/>
    <tableColumn id="5" xr3:uid="{00000000-0010-0000-0800-000005000000}" name="passord" dataDxfId="28"/>
    <tableColumn id="3" xr3:uid="{00000000-0010-0000-0800-000003000000}" name="vty_lines" dataDxfId="27"/>
    <tableColumn id="2" xr3:uid="{00000000-0010-0000-0800-000002000000}" name="secret" dataDxfId="26"/>
    <tableColumn id="6" xr3:uid="{00000000-0010-0000-0800-000006000000}" name="etherchan_num" dataDxfId="25"/>
    <tableColumn id="7" xr3:uid="{00000000-0010-0000-0800-000007000000}" name="span_mode" dataDxfId="24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9000000}" name="Tabell161824282532" displayName="Tabell161824282532" ref="A28:L30" totalsRowShown="0">
  <tableColumns count="12">
    <tableColumn id="1" xr3:uid="{00000000-0010-0000-0900-000001000000}" name="SW" dataDxfId="23">
      <calculatedColumnFormula>(ROW())-(ROW()-1)</calculatedColumnFormula>
    </tableColumn>
    <tableColumn id="2" xr3:uid="{00000000-0010-0000-0900-000002000000}" name="MGMT Vlan" dataDxfId="22"/>
    <tableColumn id="3" xr3:uid="{00000000-0010-0000-0900-000003000000}" name="MGMT ip" dataDxfId="21">
      <calculatedColumnFormula>LEFT($G$5,LEN($G$5)-1)&amp;(RIGHT($G$5,1)+A29)</calculatedColumnFormula>
    </tableColumn>
    <tableColumn id="4" xr3:uid="{00000000-0010-0000-0900-000004000000}" name="gateway" dataDxfId="20">
      <calculatedColumnFormula>$E$5</calculatedColumnFormula>
    </tableColumn>
    <tableColumn id="5" xr3:uid="{00000000-0010-0000-0900-000005000000}" name="mask" dataDxfId="19">
      <calculatedColumnFormula>$F$5</calculatedColumnFormula>
    </tableColumn>
    <tableColumn id="10" xr3:uid="{00000000-0010-0000-0900-00000A000000}" name="num_ports_tot" dataDxfId="18"/>
    <tableColumn id="11" xr3:uid="{00000000-0010-0000-0900-00000B000000}" name="skiped_ports" dataDxfId="17"/>
    <tableColumn id="6" xr3:uid="{00000000-0010-0000-0900-000006000000}" name="num_downlink" dataDxfId="16"/>
    <tableColumn id="7" xr3:uid="{00000000-0010-0000-0900-000007000000}" name="vlan-antall" dataDxfId="15"/>
    <tableColumn id="8" xr3:uid="{00000000-0010-0000-0900-000008000000}" name="intf_prefix" dataDxfId="14"/>
    <tableColumn id="9" xr3:uid="{00000000-0010-0000-0900-000009000000}" name="num_port_ledig" dataDxfId="13">
      <calculatedColumnFormula>IF($A29=1,F29-G29-H29*$F$26-2-IF(OR(UPPER($G$26)="SPAN",UPPER($G$26)="RSPAN"),1,0),F29-G29-(1+H29)*$F$26-1)</calculatedColumnFormula>
    </tableColumn>
    <tableColumn id="12" xr3:uid="{00000000-0010-0000-0900-00000C000000}" name="MONITORING ip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B000000}" name="Tabell77" displayName="Tabell77" ref="A11:C16">
  <tableColumns count="3">
    <tableColumn id="1" xr3:uid="{00000000-0010-0000-0B00-000001000000}" name="vrf"/>
    <tableColumn id="3" xr3:uid="{00000000-0010-0000-0B00-000003000000}" name="loopback"/>
    <tableColumn id="4" xr3:uid="{00000000-0010-0000-0B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6DD0E6-9D6F-4E7B-BA0C-E462BA5FC7DE}" name="Tabell68" displayName="Tabell68" ref="A4:K9">
  <tableColumns count="11">
    <tableColumn id="1" xr3:uid="{D2616625-8121-466A-8E1A-A2A8D38B6462}" name="vrf"/>
    <tableColumn id="2" xr3:uid="{1D8FE6BD-0A3D-4C40-940C-607CF33A0981}" name="vlan"/>
    <tableColumn id="3" xr3:uid="{A68EAB2D-3065-4F51-B1F1-4A0FF6CE6887}" name="interface"/>
    <tableColumn id="4" xr3:uid="{A0502686-5CAD-4F50-A69F-2B5119A9BE54}" name="nett id" dataDxfId="12">
      <calculatedColumnFormula>10&amp;"."&amp;($A$2)&amp;"."&amp;$B5&amp;"."&amp;0</calculatedColumnFormula>
    </tableColumn>
    <tableColumn id="5" xr3:uid="{25DED5D2-4715-45C7-8DBF-C3FEEF9C8372}" name="gateway">
      <calculatedColumnFormula>LEFT(D5,LEN(D5)-1)&amp;"1"</calculatedColumnFormula>
    </tableColumn>
    <tableColumn id="6" xr3:uid="{3EE183B0-73D3-4312-AC1F-5CAC62CF2B03}" name="mask"/>
    <tableColumn id="7" xr3:uid="{CEE044C4-DAC2-4A8C-922E-502929605C9D}" name="address min"/>
    <tableColumn id="8" xr3:uid="{BB5F3563-B5DC-4F44-985C-DCCC788B4296}" name="address max" dataDxfId="11">
      <calculatedColumnFormula array="1">_xlfn.LET(
_xlpm.net,SUM(--_xlfn.TEXTSPLIT(Tabell68[[#This Row],[nett id]],".")*{16777216,65536,256,1}),
_xlpm.mask,SUM(--_xlfn.TEXTSPLIT(Tabell68[[#This Row],[mask]],".")*{16777216,65536,256,1}),
_xlpm.addr,_xlpm.net+(4294967295-_xlpm.mask)-1,
_xlfn.TEXTJOIN(".",TRUE,MOD(QUOTIENT(_xlpm.addr,{16777216,65536,256,1}),256))
)</calculatedColumnFormula>
    </tableColumn>
    <tableColumn id="9" xr3:uid="{59E650C1-E0F3-43EF-B972-61D3D679AA25}" name="antall-res" dataDxfId="10"/>
    <tableColumn id="10" xr3:uid="{D4604B6A-92AE-401E-B30D-AACA7F76AC6B}" name="pri-afxx"/>
    <tableColumn id="11" xr3:uid="{85F02AFA-1D5E-4676-80C6-01FDB0523840}" name="pri-1-10"/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C000000}" name="FlowPolicyTable" displayName="FlowPolicyTable" ref="A1:E13" totalsRowShown="0">
  <tableColumns count="5">
    <tableColumn id="1" xr3:uid="{00000000-0010-0000-0C00-000001000000}" name="source"/>
    <tableColumn id="2" xr3:uid="{00000000-0010-0000-0C00-000002000000}" name="destination"/>
    <tableColumn id="3" xr3:uid="{00000000-0010-0000-0C00-000003000000}" name="protocol"/>
    <tableColumn id="4" xr3:uid="{00000000-0010-0000-0C00-000004000000}" name="destination_port"/>
    <tableColumn id="5" xr3:uid="{00000000-0010-0000-0C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4"/>
  <sheetViews>
    <sheetView zoomScale="55" zoomScaleNormal="55" workbookViewId="0">
      <selection activeCell="K2" sqref="K2:L2"/>
    </sheetView>
  </sheetViews>
  <sheetFormatPr defaultColWidth="12.5546875" defaultRowHeight="13.2" x14ac:dyDescent="0.25"/>
  <cols>
    <col min="1" max="1" width="16.33203125" customWidth="1"/>
    <col min="2" max="2" width="15.33203125" customWidth="1"/>
    <col min="3" max="3" width="66" customWidth="1"/>
    <col min="4" max="4" width="12.33203125" customWidth="1"/>
    <col min="5" max="5" width="66" customWidth="1"/>
    <col min="6" max="6" width="15.88671875" customWidth="1"/>
    <col min="7" max="7" width="66" customWidth="1"/>
    <col min="8" max="8" width="22" customWidth="1"/>
    <col min="9" max="9" width="25.5546875" customWidth="1"/>
    <col min="10" max="10" width="12.6640625" customWidth="1"/>
    <col min="11" max="12" width="18" customWidth="1"/>
    <col min="13" max="13" width="14" customWidth="1"/>
  </cols>
  <sheetData>
    <row r="1" spans="1:13" ht="15.75" customHeight="1" x14ac:dyDescent="0.2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4" t="s">
        <v>10</v>
      </c>
      <c r="L1" s="24" t="s">
        <v>11</v>
      </c>
      <c r="M1" s="25" t="s">
        <v>66</v>
      </c>
    </row>
    <row r="2" spans="1:13" ht="15.75" customHeight="1" x14ac:dyDescent="0.25">
      <c r="A2" s="2">
        <v>1</v>
      </c>
      <c r="B2" s="2" t="s">
        <v>12</v>
      </c>
      <c r="C2" s="2" t="str">
        <f>A2&amp;"."&amp;A2&amp;"."&amp;A2&amp;".0"</f>
        <v>1.1.1.0</v>
      </c>
      <c r="D2" s="2" t="s">
        <v>13</v>
      </c>
      <c r="E2" s="2" t="s">
        <v>14</v>
      </c>
      <c r="F2" s="2" t="s">
        <v>15</v>
      </c>
      <c r="G2" s="2" t="s">
        <v>14</v>
      </c>
      <c r="H2" s="2" t="s">
        <v>16</v>
      </c>
      <c r="I2" s="2" t="b">
        <v>1</v>
      </c>
      <c r="J2" s="12" t="s">
        <v>17</v>
      </c>
      <c r="K2" s="22" t="s">
        <v>95</v>
      </c>
      <c r="L2" s="22" t="s">
        <v>95</v>
      </c>
      <c r="M2" s="22" t="s">
        <v>67</v>
      </c>
    </row>
    <row r="3" spans="1:13" ht="15.75" customHeight="1" x14ac:dyDescent="0.25">
      <c r="A3" s="4"/>
      <c r="B3" s="5"/>
      <c r="C3" s="4"/>
      <c r="D3" s="4"/>
      <c r="E3" s="4"/>
      <c r="F3" s="4"/>
      <c r="G3" s="4"/>
      <c r="H3" s="4"/>
      <c r="J3" s="28"/>
      <c r="K3" s="28"/>
    </row>
    <row r="4" spans="1:13" ht="15.75" customHeight="1" x14ac:dyDescent="0.25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29" t="s">
        <v>27</v>
      </c>
      <c r="K4" s="29" t="s">
        <v>28</v>
      </c>
    </row>
    <row r="5" spans="1:13" ht="15.75" customHeight="1" x14ac:dyDescent="0.25">
      <c r="A5" s="7" t="s">
        <v>29</v>
      </c>
      <c r="B5" s="8">
        <v>10</v>
      </c>
      <c r="C5" s="7">
        <v>0</v>
      </c>
      <c r="D5" s="7" t="str">
        <f>10&amp;"."&amp;($A$2)&amp;"."&amp;B5&amp;"."&amp;0</f>
        <v>10.1.10.0</v>
      </c>
      <c r="E5" s="7" t="str">
        <f>LEFT(D5,LEN(D5)-1)&amp;"1"</f>
        <v>10.1.10.1</v>
      </c>
      <c r="F5" s="7" t="s">
        <v>34</v>
      </c>
      <c r="G5" s="7" t="str" cm="1">
        <f t="array" ref="G5">_xlfn.LET(
_xlpm.net,SUM(--_xlfn.TEXTSPLIT(Tabell6[[#This Row],[nett id]],".")*{16777216,65536,256,1}),
_xlpm.addr,_xlpm.net+1,
_xlfn.TEXTJOIN(".",TRUE,MOD(QUOTIENT(_xlpm.addr,{16777216,65536,256,1}),256))
)</f>
        <v>10.1.10.1</v>
      </c>
      <c r="H5" s="7" t="str" cm="1">
        <f t="array" ref="H5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10.1.10.254</v>
      </c>
      <c r="I5" s="7">
        <v>40</v>
      </c>
      <c r="J5" s="9">
        <v>21</v>
      </c>
      <c r="K5" s="9">
        <v>5</v>
      </c>
    </row>
    <row r="6" spans="1:13" ht="15.75" customHeight="1" x14ac:dyDescent="0.25">
      <c r="A6" s="7" t="s">
        <v>30</v>
      </c>
      <c r="B6" s="8">
        <v>20</v>
      </c>
      <c r="C6" s="7">
        <v>0</v>
      </c>
      <c r="D6" s="7" t="str">
        <f t="shared" ref="D6:D9" si="0">10&amp;"."&amp;($A$2)&amp;"."&amp;$B6&amp;"."&amp;0</f>
        <v>10.1.20.0</v>
      </c>
      <c r="E6" s="7" t="str">
        <f t="shared" ref="E6:E7" si="1">LEFT(D6,LEN(D6)-1)&amp;"1"</f>
        <v>10.1.20.1</v>
      </c>
      <c r="F6" s="7" t="s">
        <v>34</v>
      </c>
      <c r="G6" s="7" t="str">
        <f t="shared" ref="G6:G7" si="2">LEFT(D6,LEN(D6)-1)&amp;"1"</f>
        <v>10.1.20.1</v>
      </c>
      <c r="H6" s="7" t="str" cm="1">
        <f t="array" ref="H6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10.1.20.254</v>
      </c>
      <c r="I6" s="7">
        <v>40</v>
      </c>
      <c r="J6" s="9">
        <v>11</v>
      </c>
      <c r="K6" s="9">
        <v>2</v>
      </c>
    </row>
    <row r="7" spans="1:13" ht="15.75" customHeight="1" x14ac:dyDescent="0.25">
      <c r="A7" s="7" t="s">
        <v>31</v>
      </c>
      <c r="B7" s="8">
        <v>30</v>
      </c>
      <c r="C7" s="7">
        <v>0</v>
      </c>
      <c r="D7" s="7" t="str">
        <f t="shared" si="0"/>
        <v>10.1.30.0</v>
      </c>
      <c r="E7" s="7" t="str">
        <f t="shared" si="1"/>
        <v>10.1.30.1</v>
      </c>
      <c r="F7" s="7" t="s">
        <v>34</v>
      </c>
      <c r="G7" s="7" t="str">
        <f t="shared" si="2"/>
        <v>10.1.30.1</v>
      </c>
      <c r="H7" s="7" t="str" cm="1">
        <f t="array" ref="H7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10.1.30.254</v>
      </c>
      <c r="I7" s="7">
        <v>40</v>
      </c>
      <c r="J7">
        <v>42</v>
      </c>
      <c r="K7">
        <v>7</v>
      </c>
    </row>
    <row r="8" spans="1:13" ht="15.75" customHeight="1" x14ac:dyDescent="0.25">
      <c r="A8" s="7" t="s">
        <v>32</v>
      </c>
      <c r="B8" s="8">
        <v>40</v>
      </c>
      <c r="C8" s="7">
        <v>0</v>
      </c>
      <c r="D8" s="7" t="str">
        <f t="shared" si="0"/>
        <v>10.1.40.0</v>
      </c>
      <c r="E8" s="7" t="str">
        <f t="shared" ref="E8" si="3">LEFT(D8,LEN(D8)-1)&amp;"1"</f>
        <v>10.1.40.1</v>
      </c>
      <c r="F8" s="7" t="s">
        <v>34</v>
      </c>
      <c r="G8" s="7" t="str">
        <f t="shared" ref="G8" si="4">LEFT(D8,LEN(D8)-1)&amp;"1"</f>
        <v>10.1.40.1</v>
      </c>
      <c r="H8" s="7" t="str" cm="1">
        <f t="array" ref="H8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10.1.40.254</v>
      </c>
      <c r="I8" s="7">
        <v>40</v>
      </c>
      <c r="J8">
        <v>41</v>
      </c>
      <c r="K8">
        <v>10</v>
      </c>
    </row>
    <row r="9" spans="1:13" ht="15.75" customHeight="1" x14ac:dyDescent="0.25">
      <c r="A9" s="7" t="s">
        <v>33</v>
      </c>
      <c r="B9" s="8">
        <v>50</v>
      </c>
      <c r="C9" s="7">
        <v>0</v>
      </c>
      <c r="D9" s="7" t="str">
        <f t="shared" si="0"/>
        <v>10.1.50.0</v>
      </c>
      <c r="E9" s="7" t="str">
        <f t="shared" ref="E9" si="5">LEFT(D9,LEN(D9)-1)&amp;"1"</f>
        <v>10.1.50.1</v>
      </c>
      <c r="F9" s="7" t="s">
        <v>34</v>
      </c>
      <c r="G9" s="7" t="str">
        <f t="shared" ref="G9" si="6">LEFT(D9,LEN(D9)-1)&amp;"1"</f>
        <v>10.1.50.1</v>
      </c>
      <c r="H9" s="7" t="str" cm="1">
        <f t="array" ref="H9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10.1.50.254</v>
      </c>
      <c r="I9" s="7">
        <v>40</v>
      </c>
      <c r="J9">
        <v>43</v>
      </c>
      <c r="K9">
        <v>10</v>
      </c>
    </row>
    <row r="10" spans="1:13" ht="15.75" customHeight="1" x14ac:dyDescent="0.25">
      <c r="A10" s="3"/>
      <c r="B10" s="3"/>
    </row>
    <row r="11" spans="1:13" ht="15.75" customHeight="1" x14ac:dyDescent="0.25">
      <c r="A11" s="6" t="s">
        <v>18</v>
      </c>
      <c r="B11" s="6" t="s">
        <v>35</v>
      </c>
      <c r="C11" s="6" t="s">
        <v>36</v>
      </c>
    </row>
    <row r="12" spans="1:13" ht="15.75" customHeight="1" x14ac:dyDescent="0.25">
      <c r="A12" s="7" t="s">
        <v>29</v>
      </c>
      <c r="B12" s="7">
        <v>10</v>
      </c>
      <c r="C12" s="7" t="str">
        <f>$A$2&amp;"."&amp;$A$2&amp;"."&amp;$A$2&amp;"."&amp;(B12)</f>
        <v>1.1.1.10</v>
      </c>
    </row>
    <row r="13" spans="1:13" ht="15.75" customHeight="1" x14ac:dyDescent="0.25">
      <c r="A13" s="7" t="s">
        <v>30</v>
      </c>
      <c r="B13" s="7">
        <v>20</v>
      </c>
      <c r="C13" s="7" t="str">
        <f t="shared" ref="C13:C15" si="7">$A$2&amp;"."&amp;$A$2&amp;"."&amp;$A$2&amp;"."&amp;(B13)</f>
        <v>1.1.1.20</v>
      </c>
    </row>
    <row r="14" spans="1:13" ht="15.75" customHeight="1" x14ac:dyDescent="0.25">
      <c r="A14" s="7" t="s">
        <v>31</v>
      </c>
      <c r="B14" s="7">
        <v>30</v>
      </c>
      <c r="C14" s="7" t="str">
        <f t="shared" si="7"/>
        <v>1.1.1.30</v>
      </c>
    </row>
    <row r="15" spans="1:13" ht="15.75" customHeight="1" x14ac:dyDescent="0.25">
      <c r="A15" s="7" t="s">
        <v>32</v>
      </c>
      <c r="B15" s="7">
        <v>40</v>
      </c>
      <c r="C15" s="7" t="str">
        <f t="shared" si="7"/>
        <v>1.1.1.40</v>
      </c>
    </row>
    <row r="16" spans="1:13" ht="15.75" customHeight="1" x14ac:dyDescent="0.25">
      <c r="A16" s="7" t="s">
        <v>33</v>
      </c>
      <c r="B16" s="7">
        <v>50</v>
      </c>
      <c r="C16" s="7" t="str">
        <f t="shared" ref="C16" si="8">$A$2&amp;"."&amp;$A$2&amp;"."&amp;$A$2&amp;"."&amp;(B16)</f>
        <v>1.1.1.50</v>
      </c>
    </row>
    <row r="17" spans="1:12" ht="15.75" customHeight="1" x14ac:dyDescent="0.25"/>
    <row r="18" spans="1:12" ht="15.75" customHeight="1" x14ac:dyDescent="0.25">
      <c r="A18" s="6" t="s">
        <v>37</v>
      </c>
      <c r="B18" s="6" t="s">
        <v>18</v>
      </c>
      <c r="C18" s="6" t="s">
        <v>38</v>
      </c>
      <c r="D18" s="6" t="s">
        <v>23</v>
      </c>
      <c r="E18" s="6" t="s">
        <v>39</v>
      </c>
      <c r="F18" s="6" t="s">
        <v>40</v>
      </c>
      <c r="G18" s="6" t="s">
        <v>41</v>
      </c>
      <c r="H18" s="1" t="s">
        <v>42</v>
      </c>
      <c r="I18" s="1" t="s">
        <v>43</v>
      </c>
      <c r="J18" s="1" t="s">
        <v>44</v>
      </c>
    </row>
    <row r="19" spans="1:12" ht="15.75" customHeight="1" x14ac:dyDescent="0.25">
      <c r="A19" s="7" t="s">
        <v>45</v>
      </c>
      <c r="B19" s="7" t="s">
        <v>29</v>
      </c>
      <c r="C19" s="7" t="str">
        <f t="shared" ref="C19:C23" si="9">172&amp;"."&amp;16&amp;"."&amp;$H19&amp;"."&amp;($A$2)</f>
        <v>172.16.10.1</v>
      </c>
      <c r="D19" s="7" t="s">
        <v>34</v>
      </c>
      <c r="E19" s="7" t="str">
        <f t="shared" ref="E19:E23" si="10">$C$2</f>
        <v>1.1.1.0</v>
      </c>
      <c r="F19" s="7"/>
      <c r="G19" s="7" t="s">
        <v>46</v>
      </c>
      <c r="H19" s="2">
        <v>10</v>
      </c>
      <c r="I19" s="2"/>
      <c r="J19" s="2"/>
    </row>
    <row r="20" spans="1:12" ht="15.75" customHeight="1" x14ac:dyDescent="0.25">
      <c r="A20" s="7" t="s">
        <v>47</v>
      </c>
      <c r="B20" s="7" t="s">
        <v>30</v>
      </c>
      <c r="C20" s="7" t="str">
        <f t="shared" si="9"/>
        <v>172.16.20.1</v>
      </c>
      <c r="D20" s="7" t="s">
        <v>34</v>
      </c>
      <c r="E20" s="7" t="str">
        <f t="shared" si="10"/>
        <v>1.1.1.0</v>
      </c>
      <c r="F20" s="7"/>
      <c r="G20" s="7" t="s">
        <v>46</v>
      </c>
      <c r="H20" s="2">
        <v>20</v>
      </c>
      <c r="I20" s="2"/>
      <c r="J20" s="2"/>
    </row>
    <row r="21" spans="1:12" ht="15.75" customHeight="1" x14ac:dyDescent="0.25">
      <c r="A21" s="7" t="s">
        <v>48</v>
      </c>
      <c r="B21" s="7" t="s">
        <v>31</v>
      </c>
      <c r="C21" s="7" t="str">
        <f t="shared" si="9"/>
        <v>172.16.30.1</v>
      </c>
      <c r="D21" s="7" t="s">
        <v>34</v>
      </c>
      <c r="E21" s="7" t="str">
        <f t="shared" si="10"/>
        <v>1.1.1.0</v>
      </c>
      <c r="F21" s="7"/>
      <c r="G21" s="7" t="s">
        <v>46</v>
      </c>
      <c r="H21" s="2">
        <v>30</v>
      </c>
      <c r="I21" s="2" t="b">
        <v>1</v>
      </c>
      <c r="J21" s="2"/>
    </row>
    <row r="22" spans="1:12" ht="15.75" customHeight="1" x14ac:dyDescent="0.25">
      <c r="A22" s="7" t="s">
        <v>49</v>
      </c>
      <c r="B22" s="7" t="s">
        <v>32</v>
      </c>
      <c r="C22" s="7" t="str">
        <f t="shared" si="9"/>
        <v>172.16.40.1</v>
      </c>
      <c r="D22" s="7" t="s">
        <v>34</v>
      </c>
      <c r="E22" s="7" t="str">
        <f t="shared" si="10"/>
        <v>1.1.1.0</v>
      </c>
      <c r="F22" s="7"/>
      <c r="G22" s="7" t="s">
        <v>46</v>
      </c>
      <c r="H22" s="2">
        <v>40</v>
      </c>
      <c r="I22" s="2" t="b">
        <v>1</v>
      </c>
      <c r="J22" s="2"/>
    </row>
    <row r="23" spans="1:12" ht="15.75" customHeight="1" x14ac:dyDescent="0.25">
      <c r="A23" s="7" t="s">
        <v>50</v>
      </c>
      <c r="B23" s="7" t="s">
        <v>33</v>
      </c>
      <c r="C23" s="7" t="str">
        <f t="shared" si="9"/>
        <v>172.16.50.1</v>
      </c>
      <c r="D23" s="7" t="s">
        <v>34</v>
      </c>
      <c r="E23" s="7" t="str">
        <f t="shared" si="10"/>
        <v>1.1.1.0</v>
      </c>
      <c r="F23" s="7"/>
      <c r="G23" s="7" t="s">
        <v>46</v>
      </c>
      <c r="H23" s="2">
        <v>50</v>
      </c>
      <c r="I23" s="2" t="b">
        <v>1</v>
      </c>
      <c r="J23" s="2"/>
    </row>
    <row r="24" spans="1:12" ht="15.75" customHeight="1" x14ac:dyDescent="0.25">
      <c r="A24" s="11"/>
      <c r="B24" s="11"/>
      <c r="C24" s="11"/>
      <c r="D24" s="11"/>
      <c r="E24" s="11"/>
      <c r="F24" s="11"/>
      <c r="G24" s="11"/>
    </row>
    <row r="25" spans="1:12" ht="15.75" customHeight="1" x14ac:dyDescent="0.25">
      <c r="A25" s="1" t="s">
        <v>0</v>
      </c>
      <c r="B25" s="1" t="s">
        <v>3</v>
      </c>
      <c r="C25" s="1" t="s">
        <v>4</v>
      </c>
      <c r="D25" s="1" t="s">
        <v>5</v>
      </c>
      <c r="E25" s="1" t="s">
        <v>6</v>
      </c>
      <c r="F25" s="1" t="s">
        <v>51</v>
      </c>
      <c r="G25" s="1" t="s">
        <v>52</v>
      </c>
      <c r="H25" t="s">
        <v>53</v>
      </c>
    </row>
    <row r="26" spans="1:12" ht="28.65" customHeight="1" x14ac:dyDescent="0.25">
      <c r="A26" s="2">
        <f>A2</f>
        <v>1</v>
      </c>
      <c r="B26" s="2" t="s">
        <v>13</v>
      </c>
      <c r="C26" s="2" t="s">
        <v>14</v>
      </c>
      <c r="D26" s="2" t="s">
        <v>15</v>
      </c>
      <c r="E26" s="2" t="s">
        <v>14</v>
      </c>
      <c r="F26" s="2">
        <v>1</v>
      </c>
      <c r="G26" s="2" t="s">
        <v>54</v>
      </c>
      <c r="H26" s="16"/>
    </row>
    <row r="27" spans="1:12" ht="15.75" customHeight="1" x14ac:dyDescent="0.25"/>
    <row r="28" spans="1:12" ht="39" customHeight="1" x14ac:dyDescent="0.25">
      <c r="A28" s="14" t="s">
        <v>55</v>
      </c>
      <c r="B28" s="14" t="s">
        <v>56</v>
      </c>
      <c r="C28" s="14" t="s">
        <v>57</v>
      </c>
      <c r="D28" s="14" t="s">
        <v>22</v>
      </c>
      <c r="E28" s="14" t="s">
        <v>23</v>
      </c>
      <c r="F28" s="14" t="s">
        <v>58</v>
      </c>
      <c r="G28" s="14" t="s">
        <v>59</v>
      </c>
      <c r="H28" s="14" t="s">
        <v>60</v>
      </c>
      <c r="I28" s="14" t="s">
        <v>61</v>
      </c>
      <c r="J28" s="14" t="s">
        <v>1</v>
      </c>
      <c r="K28" s="14" t="s">
        <v>62</v>
      </c>
      <c r="L28" s="28" t="s">
        <v>63</v>
      </c>
    </row>
    <row r="29" spans="1:12" ht="45" customHeight="1" x14ac:dyDescent="0.25">
      <c r="A29" s="7">
        <f>(ROW())-(ROW()-1)</f>
        <v>1</v>
      </c>
      <c r="B29" s="7">
        <v>10</v>
      </c>
      <c r="C29" s="7" t="str">
        <f>LEFT($G$5,LEN($G$5)-1)&amp;(RIGHT($G$5,1)+A29)</f>
        <v>10.1.10.2</v>
      </c>
      <c r="D29" s="7" t="str">
        <f>$E$5</f>
        <v>10.1.10.1</v>
      </c>
      <c r="E29" s="7" t="str">
        <f>$F$5</f>
        <v>255.255.255.0</v>
      </c>
      <c r="F29" s="7">
        <v>4</v>
      </c>
      <c r="G29" s="7">
        <v>0</v>
      </c>
      <c r="H29" s="10">
        <v>0</v>
      </c>
      <c r="I29" s="7" t="s">
        <v>64</v>
      </c>
      <c r="J29" s="2" t="s">
        <v>12</v>
      </c>
      <c r="K29" s="2">
        <f>IF($A29=1,F29-G29-H29*$F$26-2-IF($K$2&lt;&gt;$L$2,1,0)-IF(OR(UPPER($G$26)="SPAN",UPPER($G$26)="ERSPAN",UPPER($G$26)="RSPAN"),1,0),F29-G29-(1+H29)*$F$26-1)</f>
        <v>1</v>
      </c>
      <c r="L29" t="str">
        <f t="shared" ref="L29" si="11">LEFT($G$9,LEN($G$9)-1)&amp;(RIGHT($G$9,1)+A29)</f>
        <v>10.1.50.2</v>
      </c>
    </row>
    <row r="30" spans="1:12" ht="15.75" customHeight="1" x14ac:dyDescent="0.25"/>
    <row r="31" spans="1:12" ht="15.75" customHeight="1" x14ac:dyDescent="0.25"/>
    <row r="32" spans="1:1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</sheetData>
  <dataValidations count="3">
    <dataValidation type="list" sqref="G26" xr:uid="{00000000-0002-0000-0000-000000000000}">
      <formula1>"SPAN,RSPAN,ERSPAN"</formula1>
    </dataValidation>
    <dataValidation type="custom" allowBlank="1" showInputMessage="1" showErrorMessage="1" sqref="I29" xr:uid="{00000000-0002-0000-0000-000001000000}">
      <formula1>IF(I29="",TRUE,SUM(--_xlfn.TEXTAFTER(_xlfn.TEXTSPLIT(I29,"-"),"."))&lt;=K29)</formula1>
    </dataValidation>
    <dataValidation type="list" sqref="M2" xr:uid="{00000000-0002-0000-00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98"/>
  <sheetViews>
    <sheetView tabSelected="1" zoomScale="55" zoomScaleNormal="55" workbookViewId="0">
      <selection activeCell="K16" sqref="K16"/>
    </sheetView>
  </sheetViews>
  <sheetFormatPr defaultColWidth="12.5546875" defaultRowHeight="13.8" x14ac:dyDescent="0.25"/>
  <cols>
    <col min="1" max="1" width="10.6640625" style="13" customWidth="1"/>
    <col min="2" max="2" width="13" style="13" customWidth="1"/>
    <col min="3" max="3" width="75.88671875" style="13" customWidth="1"/>
    <col min="4" max="4" width="12.33203125" style="13" customWidth="1"/>
    <col min="5" max="5" width="75.88671875" style="13" customWidth="1"/>
    <col min="6" max="6" width="16.88671875" style="13" customWidth="1"/>
    <col min="7" max="7" width="75.88671875" style="13" customWidth="1"/>
    <col min="8" max="8" width="22" style="13" customWidth="1"/>
    <col min="9" max="9" width="25.5546875" style="13" customWidth="1"/>
    <col min="10" max="10" width="16.109375" style="13" customWidth="1"/>
    <col min="11" max="11" width="16.88671875" style="13" customWidth="1"/>
    <col min="12" max="12" width="18" customWidth="1"/>
    <col min="13" max="13" width="14" customWidth="1"/>
    <col min="14" max="16384" width="12.5546875" style="13"/>
  </cols>
  <sheetData>
    <row r="1" spans="1:12" ht="15.75" customHeight="1" x14ac:dyDescent="0.2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9</v>
      </c>
      <c r="J1" s="24" t="s">
        <v>10</v>
      </c>
      <c r="K1" s="24" t="s">
        <v>11</v>
      </c>
      <c r="L1" s="25" t="s">
        <v>66</v>
      </c>
    </row>
    <row r="2" spans="1:12" ht="15.75" customHeight="1" x14ac:dyDescent="0.25">
      <c r="A2" s="13">
        <v>2</v>
      </c>
      <c r="B2" s="13" t="s">
        <v>12</v>
      </c>
      <c r="C2" s="13" t="str">
        <f>A2&amp;"."&amp;A2&amp;"."&amp;A2&amp;".0"</f>
        <v>2.2.2.0</v>
      </c>
      <c r="D2" s="13" t="s">
        <v>13</v>
      </c>
      <c r="E2" s="13" t="s">
        <v>14</v>
      </c>
      <c r="F2" s="13" t="s">
        <v>15</v>
      </c>
      <c r="G2" s="13" t="s">
        <v>14</v>
      </c>
      <c r="H2" s="13" t="str">
        <f>'Site 1 (HUB)'!H2</f>
        <v>TACACS-KEY</v>
      </c>
      <c r="I2" s="13" t="s">
        <v>17</v>
      </c>
      <c r="J2" s="22" t="s">
        <v>95</v>
      </c>
      <c r="K2" s="22" t="s">
        <v>95</v>
      </c>
      <c r="L2" s="23" t="s">
        <v>67</v>
      </c>
    </row>
    <row r="3" spans="1:12" ht="15.75" customHeight="1" x14ac:dyDescent="0.25"/>
    <row r="4" spans="1:12" ht="31.5" customHeight="1" x14ac:dyDescent="0.25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29" t="s">
        <v>27</v>
      </c>
      <c r="K4" s="29" t="s">
        <v>28</v>
      </c>
    </row>
    <row r="5" spans="1:12" ht="15.75" customHeight="1" x14ac:dyDescent="0.25">
      <c r="A5" s="7" t="s">
        <v>29</v>
      </c>
      <c r="B5" s="8">
        <v>10</v>
      </c>
      <c r="C5" s="7">
        <v>0</v>
      </c>
      <c r="D5" s="7" t="str">
        <f>10&amp;"."&amp;($A$2)&amp;"."&amp;B5&amp;"."&amp;0</f>
        <v>10.2.10.0</v>
      </c>
      <c r="E5" s="7" t="str">
        <f>LEFT(D5,LEN(D5)-1)&amp;"1"</f>
        <v>10.2.10.1</v>
      </c>
      <c r="F5" s="7" t="s">
        <v>34</v>
      </c>
      <c r="G5" s="7" t="str" cm="1">
        <f t="array" ref="G5">_xlfn.LET(
_xlpm.net,SUM(--_xlfn.TEXTSPLIT(Tabell68[[#This Row],[nett id]],".")*{16777216,65536,256,1}),
_xlpm.addr,_xlpm.net+1,
_xlfn.TEXTJOIN(".",TRUE,MOD(QUOTIENT(_xlpm.addr,{16777216,65536,256,1}),256))
)</f>
        <v>10.2.10.1</v>
      </c>
      <c r="H5" s="7" t="str" cm="1">
        <f t="array" ref="H5">_xlfn.LET(
_xlpm.net,SUM(--_xlfn.TEXTSPLIT(Tabell68[[#This Row],[nett id]],".")*{16777216,65536,256,1}),
_xlpm.mask,SUM(--_xlfn.TEXTSPLIT(Tabell68[[#This Row],[mask]],".")*{16777216,65536,256,1}),
_xlpm.addr,_xlpm.net+(4294967295-_xlpm.mask)-1,
_xlfn.TEXTJOIN(".",TRUE,MOD(QUOTIENT(_xlpm.addr,{16777216,65536,256,1}),256))
)</f>
        <v>10.2.10.254</v>
      </c>
      <c r="I5" s="7">
        <v>40</v>
      </c>
      <c r="J5" s="9">
        <v>21</v>
      </c>
      <c r="K5" s="9">
        <v>5</v>
      </c>
    </row>
    <row r="6" spans="1:12" ht="15.75" customHeight="1" x14ac:dyDescent="0.25">
      <c r="A6" s="7" t="s">
        <v>30</v>
      </c>
      <c r="B6" s="8">
        <v>20</v>
      </c>
      <c r="C6" s="7">
        <v>0</v>
      </c>
      <c r="D6" s="7" t="str">
        <f t="shared" ref="D6:D9" si="0">10&amp;"."&amp;($A$2)&amp;"."&amp;$B6&amp;"."&amp;0</f>
        <v>10.2.20.0</v>
      </c>
      <c r="E6" s="7" t="str">
        <f t="shared" ref="E6:E9" si="1">LEFT(D6,LEN(D6)-1)&amp;"1"</f>
        <v>10.2.20.1</v>
      </c>
      <c r="F6" s="7" t="s">
        <v>34</v>
      </c>
      <c r="G6" s="7" t="str">
        <f t="shared" ref="G6:G9" si="2">LEFT(D6,LEN(D6)-1)&amp;"1"</f>
        <v>10.2.20.1</v>
      </c>
      <c r="H6" s="7" t="str" cm="1">
        <f t="array" ref="H6">_xlfn.LET(
_xlpm.net,SUM(--_xlfn.TEXTSPLIT(Tabell68[[#This Row],[nett id]],".")*{16777216,65536,256,1}),
_xlpm.mask,SUM(--_xlfn.TEXTSPLIT(Tabell68[[#This Row],[mask]],".")*{16777216,65536,256,1}),
_xlpm.addr,_xlpm.net+(4294967295-_xlpm.mask)-1,
_xlfn.TEXTJOIN(".",TRUE,MOD(QUOTIENT(_xlpm.addr,{16777216,65536,256,1}),256))
)</f>
        <v>10.2.20.254</v>
      </c>
      <c r="I6" s="7">
        <v>40</v>
      </c>
      <c r="J6" s="9">
        <v>11</v>
      </c>
      <c r="K6" s="9">
        <v>2</v>
      </c>
    </row>
    <row r="7" spans="1:12" ht="15.75" customHeight="1" x14ac:dyDescent="0.25">
      <c r="A7" s="7" t="s">
        <v>31</v>
      </c>
      <c r="B7" s="8">
        <v>30</v>
      </c>
      <c r="C7" s="7">
        <v>0</v>
      </c>
      <c r="D7" s="7" t="str">
        <f t="shared" si="0"/>
        <v>10.2.30.0</v>
      </c>
      <c r="E7" s="7" t="str">
        <f t="shared" si="1"/>
        <v>10.2.30.1</v>
      </c>
      <c r="F7" s="7" t="s">
        <v>34</v>
      </c>
      <c r="G7" s="7" t="str">
        <f t="shared" si="2"/>
        <v>10.2.30.1</v>
      </c>
      <c r="H7" s="7" t="str" cm="1">
        <f t="array" ref="H7">_xlfn.LET(
_xlpm.net,SUM(--_xlfn.TEXTSPLIT(Tabell68[[#This Row],[nett id]],".")*{16777216,65536,256,1}),
_xlpm.mask,SUM(--_xlfn.TEXTSPLIT(Tabell68[[#This Row],[mask]],".")*{16777216,65536,256,1}),
_xlpm.addr,_xlpm.net+(4294967295-_xlpm.mask)-1,
_xlfn.TEXTJOIN(".",TRUE,MOD(QUOTIENT(_xlpm.addr,{16777216,65536,256,1}),256))
)</f>
        <v>10.2.30.254</v>
      </c>
      <c r="I7" s="7">
        <v>40</v>
      </c>
      <c r="J7">
        <v>42</v>
      </c>
      <c r="K7">
        <v>7</v>
      </c>
    </row>
    <row r="8" spans="1:12" ht="15.75" customHeight="1" x14ac:dyDescent="0.25">
      <c r="A8" s="7" t="s">
        <v>32</v>
      </c>
      <c r="B8" s="8">
        <v>40</v>
      </c>
      <c r="C8" s="7">
        <v>0</v>
      </c>
      <c r="D8" s="7" t="str">
        <f t="shared" si="0"/>
        <v>10.2.40.0</v>
      </c>
      <c r="E8" s="7" t="str">
        <f t="shared" si="1"/>
        <v>10.2.40.1</v>
      </c>
      <c r="F8" s="7" t="s">
        <v>34</v>
      </c>
      <c r="G8" s="7" t="str">
        <f t="shared" si="2"/>
        <v>10.2.40.1</v>
      </c>
      <c r="H8" s="7" t="str" cm="1">
        <f t="array" ref="H8">_xlfn.LET(
_xlpm.net,SUM(--_xlfn.TEXTSPLIT(Tabell68[[#This Row],[nett id]],".")*{16777216,65536,256,1}),
_xlpm.mask,SUM(--_xlfn.TEXTSPLIT(Tabell68[[#This Row],[mask]],".")*{16777216,65536,256,1}),
_xlpm.addr,_xlpm.net+(4294967295-_xlpm.mask)-1,
_xlfn.TEXTJOIN(".",TRUE,MOD(QUOTIENT(_xlpm.addr,{16777216,65536,256,1}),256))
)</f>
        <v>10.2.40.254</v>
      </c>
      <c r="I8" s="7">
        <v>40</v>
      </c>
      <c r="J8">
        <v>41</v>
      </c>
      <c r="K8">
        <v>10</v>
      </c>
      <c r="L8" s="13"/>
    </row>
    <row r="9" spans="1:12" ht="15.75" customHeight="1" x14ac:dyDescent="0.25">
      <c r="A9" s="7" t="s">
        <v>33</v>
      </c>
      <c r="B9" s="8">
        <v>50</v>
      </c>
      <c r="C9" s="7">
        <v>0</v>
      </c>
      <c r="D9" s="7" t="str">
        <f t="shared" si="0"/>
        <v>10.2.50.0</v>
      </c>
      <c r="E9" s="7" t="str">
        <f t="shared" si="1"/>
        <v>10.2.50.1</v>
      </c>
      <c r="F9" s="7" t="s">
        <v>34</v>
      </c>
      <c r="G9" s="7" t="str">
        <f t="shared" si="2"/>
        <v>10.2.50.1</v>
      </c>
      <c r="H9" s="7" t="str" cm="1">
        <f t="array" ref="H9">_xlfn.LET(
_xlpm.net,SUM(--_xlfn.TEXTSPLIT(Tabell68[[#This Row],[nett id]],".")*{16777216,65536,256,1}),
_xlpm.mask,SUM(--_xlfn.TEXTSPLIT(Tabell68[[#This Row],[mask]],".")*{16777216,65536,256,1}),
_xlpm.addr,_xlpm.net+(4294967295-_xlpm.mask)-1,
_xlfn.TEXTJOIN(".",TRUE,MOD(QUOTIENT(_xlpm.addr,{16777216,65536,256,1}),256))
)</f>
        <v>10.2.50.254</v>
      </c>
      <c r="I9" s="7">
        <v>40</v>
      </c>
      <c r="J9">
        <v>43</v>
      </c>
      <c r="K9">
        <v>10</v>
      </c>
      <c r="L9" s="13"/>
    </row>
    <row r="10" spans="1:12" ht="15.75" customHeight="1" x14ac:dyDescent="0.25">
      <c r="A10" s="3"/>
      <c r="B10" s="3"/>
      <c r="C10"/>
      <c r="D10"/>
      <c r="E10"/>
      <c r="F10"/>
      <c r="G10"/>
      <c r="H10"/>
      <c r="I10"/>
      <c r="J10"/>
      <c r="K10"/>
      <c r="L10" s="13"/>
    </row>
    <row r="11" spans="1:12" ht="15.75" customHeight="1" x14ac:dyDescent="0.25">
      <c r="A11" s="6" t="s">
        <v>18</v>
      </c>
      <c r="B11" s="6" t="s">
        <v>35</v>
      </c>
      <c r="C11" s="6" t="s">
        <v>36</v>
      </c>
      <c r="D11"/>
      <c r="E11"/>
      <c r="F11"/>
      <c r="G11"/>
      <c r="H11"/>
      <c r="I11"/>
      <c r="J11"/>
      <c r="K11"/>
      <c r="L11" s="13"/>
    </row>
    <row r="12" spans="1:12" ht="15.75" customHeight="1" x14ac:dyDescent="0.25">
      <c r="A12" s="7" t="s">
        <v>29</v>
      </c>
      <c r="B12" s="7">
        <v>10</v>
      </c>
      <c r="C12" s="7" t="str">
        <f>$A$2&amp;"."&amp;$A$2&amp;"."&amp;$A$2&amp;"."&amp;(B12)</f>
        <v>2.2.2.10</v>
      </c>
      <c r="D12"/>
      <c r="E12"/>
      <c r="F12"/>
      <c r="G12"/>
      <c r="H12"/>
      <c r="I12"/>
      <c r="J12"/>
      <c r="K12"/>
      <c r="L12" s="13"/>
    </row>
    <row r="13" spans="1:12" ht="15.75" customHeight="1" x14ac:dyDescent="0.25">
      <c r="A13" s="7" t="s">
        <v>30</v>
      </c>
      <c r="B13" s="7">
        <v>20</v>
      </c>
      <c r="C13" s="7" t="str">
        <f t="shared" ref="C13:C16" si="3">$A$2&amp;"."&amp;$A$2&amp;"."&amp;$A$2&amp;"."&amp;(B13)</f>
        <v>2.2.2.20</v>
      </c>
      <c r="D13"/>
      <c r="E13"/>
      <c r="F13"/>
      <c r="G13"/>
      <c r="H13"/>
      <c r="I13"/>
      <c r="J13"/>
      <c r="K13"/>
      <c r="L13" s="13"/>
    </row>
    <row r="14" spans="1:12" ht="15.75" customHeight="1" x14ac:dyDescent="0.25">
      <c r="A14" s="7" t="s">
        <v>31</v>
      </c>
      <c r="B14" s="7">
        <v>30</v>
      </c>
      <c r="C14" s="7" t="str">
        <f t="shared" si="3"/>
        <v>2.2.2.30</v>
      </c>
      <c r="D14"/>
      <c r="E14"/>
      <c r="F14"/>
      <c r="G14"/>
      <c r="H14"/>
      <c r="I14"/>
      <c r="J14"/>
      <c r="K14"/>
      <c r="L14" s="13"/>
    </row>
    <row r="15" spans="1:12" ht="15.75" customHeight="1" x14ac:dyDescent="0.25">
      <c r="A15" s="7" t="s">
        <v>32</v>
      </c>
      <c r="B15" s="7">
        <v>40</v>
      </c>
      <c r="C15" s="7" t="str">
        <f t="shared" si="3"/>
        <v>2.2.2.40</v>
      </c>
      <c r="D15"/>
      <c r="E15"/>
      <c r="F15"/>
      <c r="G15"/>
      <c r="H15"/>
      <c r="I15"/>
      <c r="J15"/>
      <c r="K15"/>
      <c r="L15" s="13"/>
    </row>
    <row r="16" spans="1:12" ht="15.75" customHeight="1" x14ac:dyDescent="0.25">
      <c r="A16" s="7" t="s">
        <v>33</v>
      </c>
      <c r="B16" s="7">
        <v>50</v>
      </c>
      <c r="C16" s="7" t="str">
        <f t="shared" si="3"/>
        <v>2.2.2.50</v>
      </c>
      <c r="D16"/>
      <c r="E16"/>
      <c r="F16"/>
      <c r="G16"/>
      <c r="H16"/>
      <c r="I16"/>
      <c r="J16"/>
      <c r="K16"/>
      <c r="L16" s="13"/>
    </row>
    <row r="17" spans="1:12" ht="15.75" customHeight="1" x14ac:dyDescent="0.25"/>
    <row r="18" spans="1:12" ht="15.75" customHeight="1" x14ac:dyDescent="0.25">
      <c r="A18" s="6" t="s">
        <v>37</v>
      </c>
      <c r="B18" s="6" t="s">
        <v>18</v>
      </c>
      <c r="C18" s="6" t="s">
        <v>38</v>
      </c>
      <c r="D18" s="6" t="s">
        <v>23</v>
      </c>
      <c r="E18" s="6" t="s">
        <v>39</v>
      </c>
      <c r="F18" s="6" t="s">
        <v>40</v>
      </c>
      <c r="G18" s="6" t="s">
        <v>41</v>
      </c>
      <c r="H18" s="1" t="s">
        <v>42</v>
      </c>
      <c r="I18" s="13" t="s">
        <v>43</v>
      </c>
      <c r="J18" s="13" t="s">
        <v>44</v>
      </c>
    </row>
    <row r="19" spans="1:12" ht="15.75" customHeight="1" x14ac:dyDescent="0.25">
      <c r="A19" s="7" t="s">
        <v>45</v>
      </c>
      <c r="B19" s="7" t="s">
        <v>29</v>
      </c>
      <c r="C19" s="7" t="str">
        <f t="shared" ref="C19:C23" si="4">172&amp;"."&amp;16&amp;"."&amp;$H19&amp;"."&amp;($A$2)</f>
        <v>172.16.10.2</v>
      </c>
      <c r="D19" s="7" t="s">
        <v>34</v>
      </c>
      <c r="E19" s="7" t="str">
        <f t="shared" ref="E19:E23" si="5">$C$2</f>
        <v>2.2.2.0</v>
      </c>
      <c r="F19" s="7"/>
      <c r="G19" s="7" t="s">
        <v>46</v>
      </c>
      <c r="H19" s="2">
        <v>10</v>
      </c>
      <c r="I19" s="13">
        <f t="array" ref="I19">'Site 1 (HUB)'!I19</f>
        <v>0</v>
      </c>
    </row>
    <row r="20" spans="1:12" ht="15.75" customHeight="1" x14ac:dyDescent="0.25">
      <c r="A20" s="7" t="s">
        <v>47</v>
      </c>
      <c r="B20" s="7" t="s">
        <v>30</v>
      </c>
      <c r="C20" s="7" t="str">
        <f t="shared" si="4"/>
        <v>172.16.20.2</v>
      </c>
      <c r="D20" s="7" t="s">
        <v>34</v>
      </c>
      <c r="E20" s="7" t="str">
        <f t="shared" si="5"/>
        <v>2.2.2.0</v>
      </c>
      <c r="F20" s="7"/>
      <c r="G20" s="7" t="s">
        <v>46</v>
      </c>
      <c r="H20" s="2">
        <v>20</v>
      </c>
      <c r="I20" s="13" cm="1">
        <f t="array" ref="I20">'Site 1 (HUB)'!I20</f>
        <v>0</v>
      </c>
    </row>
    <row r="21" spans="1:12" ht="15.75" customHeight="1" x14ac:dyDescent="0.25">
      <c r="A21" s="7" t="s">
        <v>48</v>
      </c>
      <c r="B21" s="7" t="s">
        <v>31</v>
      </c>
      <c r="C21" s="7" t="str">
        <f t="shared" si="4"/>
        <v>172.16.30.2</v>
      </c>
      <c r="D21" s="7" t="s">
        <v>34</v>
      </c>
      <c r="E21" s="7" t="str">
        <f t="shared" si="5"/>
        <v>2.2.2.0</v>
      </c>
      <c r="F21" s="7"/>
      <c r="G21" s="7" t="s">
        <v>46</v>
      </c>
      <c r="H21" s="2">
        <v>30</v>
      </c>
      <c r="I21" s="13" t="b">
        <f>'Site 1 (HUB)'!I21</f>
        <v>1</v>
      </c>
    </row>
    <row r="22" spans="1:12" ht="15.75" customHeight="1" x14ac:dyDescent="0.25">
      <c r="A22" s="7" t="s">
        <v>49</v>
      </c>
      <c r="B22" s="7" t="s">
        <v>32</v>
      </c>
      <c r="C22" s="7" t="str">
        <f t="shared" si="4"/>
        <v>172.16.40.2</v>
      </c>
      <c r="D22" s="7" t="s">
        <v>34</v>
      </c>
      <c r="E22" s="7" t="str">
        <f t="shared" si="5"/>
        <v>2.2.2.0</v>
      </c>
      <c r="F22" s="7"/>
      <c r="G22" s="7" t="s">
        <v>46</v>
      </c>
      <c r="H22" s="2">
        <v>40</v>
      </c>
      <c r="I22" s="13" t="b">
        <f>'Site 1 (HUB)'!I22</f>
        <v>1</v>
      </c>
    </row>
    <row r="23" spans="1:12" ht="15.75" customHeight="1" x14ac:dyDescent="0.25">
      <c r="A23" s="7" t="s">
        <v>50</v>
      </c>
      <c r="B23" s="7" t="s">
        <v>33</v>
      </c>
      <c r="C23" s="7" t="str">
        <f t="shared" si="4"/>
        <v>172.16.50.2</v>
      </c>
      <c r="D23" s="7" t="s">
        <v>34</v>
      </c>
      <c r="E23" s="7" t="str">
        <f t="shared" si="5"/>
        <v>2.2.2.0</v>
      </c>
      <c r="F23" s="7"/>
      <c r="G23" s="7" t="s">
        <v>46</v>
      </c>
      <c r="H23" s="2">
        <v>50</v>
      </c>
      <c r="I23" s="13" t="b">
        <f>'Site 1 (HUB)'!I23</f>
        <v>1</v>
      </c>
      <c r="J23" s="15"/>
    </row>
    <row r="24" spans="1:12" ht="15.75" customHeight="1" x14ac:dyDescent="0.25"/>
    <row r="25" spans="1:12" ht="16.5" customHeight="1" x14ac:dyDescent="0.25">
      <c r="A25" s="13" t="s">
        <v>0</v>
      </c>
      <c r="B25" s="13" t="s">
        <v>3</v>
      </c>
      <c r="C25" s="13" t="s">
        <v>4</v>
      </c>
      <c r="D25" s="13" t="s">
        <v>5</v>
      </c>
      <c r="E25" s="13" t="s">
        <v>6</v>
      </c>
      <c r="F25" s="13" t="s">
        <v>51</v>
      </c>
      <c r="G25" s="1" t="s">
        <v>52</v>
      </c>
      <c r="H25"/>
    </row>
    <row r="26" spans="1:12" ht="15.75" customHeight="1" x14ac:dyDescent="0.25">
      <c r="A26" s="13">
        <f>A2</f>
        <v>2</v>
      </c>
      <c r="B26" s="13" t="s">
        <v>13</v>
      </c>
      <c r="C26" s="13" t="s">
        <v>14</v>
      </c>
      <c r="D26" s="13" t="s">
        <v>15</v>
      </c>
      <c r="E26" s="13" t="s">
        <v>14</v>
      </c>
      <c r="F26" s="13">
        <v>2</v>
      </c>
      <c r="G26" s="2" t="s">
        <v>54</v>
      </c>
      <c r="H26" s="16"/>
    </row>
    <row r="27" spans="1:12" ht="15.75" customHeight="1" x14ac:dyDescent="0.25"/>
    <row r="28" spans="1:12" ht="15.75" customHeight="1" x14ac:dyDescent="0.25">
      <c r="A28" s="14" t="s">
        <v>55</v>
      </c>
      <c r="B28" s="14" t="s">
        <v>56</v>
      </c>
      <c r="C28" s="14" t="s">
        <v>57</v>
      </c>
      <c r="D28" s="14" t="s">
        <v>22</v>
      </c>
      <c r="E28" s="14" t="s">
        <v>23</v>
      </c>
      <c r="F28" s="14" t="s">
        <v>58</v>
      </c>
      <c r="G28" s="14" t="s">
        <v>59</v>
      </c>
      <c r="H28" s="14" t="s">
        <v>60</v>
      </c>
      <c r="I28" s="14" t="s">
        <v>61</v>
      </c>
      <c r="J28" s="14" t="s">
        <v>1</v>
      </c>
      <c r="K28" s="14" t="s">
        <v>62</v>
      </c>
      <c r="L28" s="28" t="s">
        <v>63</v>
      </c>
    </row>
    <row r="29" spans="1:12" ht="45" customHeight="1" x14ac:dyDescent="0.25">
      <c r="A29" s="7">
        <f>(ROW())-(ROW()-1)</f>
        <v>1</v>
      </c>
      <c r="B29" s="7">
        <v>10</v>
      </c>
      <c r="C29" s="7" t="str">
        <f>LEFT($G$5,LEN($G$5)-1)&amp;(RIGHT($G$5,1)+A29)</f>
        <v>10.2.10.2</v>
      </c>
      <c r="D29" s="7" t="str">
        <f>$E$5</f>
        <v>10.2.10.1</v>
      </c>
      <c r="E29" s="7" t="str">
        <f>$F$5</f>
        <v>255.255.255.0</v>
      </c>
      <c r="F29" s="7">
        <v>24</v>
      </c>
      <c r="G29" s="7">
        <v>0</v>
      </c>
      <c r="H29" s="10">
        <v>3</v>
      </c>
      <c r="I29" s="7"/>
      <c r="J29" s="2" t="s">
        <v>12</v>
      </c>
      <c r="K29" s="2">
        <f>IF($A29=1,F29-G29-H29*$F$26-2-IF(OR(UPPER($G$26)="SPAN",UPPER($G$26)="RSPAN"),1,0),F29-G29-(1+H29)*$F$26-1)</f>
        <v>16</v>
      </c>
      <c r="L29" t="str">
        <f t="shared" ref="L29" si="6">LEFT($G$9,LEN($G$9)-1)&amp;(RIGHT($G$9,1)+A29)</f>
        <v>10.2.50.2</v>
      </c>
    </row>
    <row r="30" spans="1:12" ht="15.75" customHeight="1" x14ac:dyDescent="0.25">
      <c r="A30" s="7">
        <v>2</v>
      </c>
      <c r="B30" s="7">
        <v>10</v>
      </c>
      <c r="C30" s="7" t="str">
        <f>LEFT($G$5,LEN($G$5)-1)&amp;(RIGHT($G$5,1)+A30)</f>
        <v>10.2.10.3</v>
      </c>
      <c r="D30" s="7" t="str">
        <f>$E$5</f>
        <v>10.2.10.1</v>
      </c>
      <c r="E30" s="7" t="str">
        <f>$F$5</f>
        <v>255.255.255.0</v>
      </c>
      <c r="F30" s="7">
        <v>24</v>
      </c>
      <c r="G30" s="7">
        <v>0</v>
      </c>
      <c r="H30" s="7">
        <v>3</v>
      </c>
      <c r="I30" s="17" t="s">
        <v>65</v>
      </c>
      <c r="J30" s="2" t="s">
        <v>12</v>
      </c>
      <c r="K30" s="2">
        <f>IF($A30=1,F30-G30-H30*$F$26-2-IF(OR(UPPER($G$26)="SPAN",UPPER($G$26)="RSPAN"),1,0),F30-G30-(1+H30)*$F$26-1)</f>
        <v>15</v>
      </c>
      <c r="L30" t="str">
        <f t="shared" ref="L30" si="7">LEFT($G$9,LEN($G$9)-1)&amp;(RIGHT($G$9,1)+A30)</f>
        <v>10.2.50.3</v>
      </c>
    </row>
    <row r="31" spans="1:12" ht="15.75" customHeight="1" x14ac:dyDescent="0.25"/>
    <row r="32" spans="1:1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dataValidations count="3">
    <dataValidation type="custom" allowBlank="1" showInputMessage="1" showErrorMessage="1" sqref="I29:I30" xr:uid="{00000000-0002-0000-0100-000000000000}">
      <formula1>IF(I29="",TRUE,SUM(--_xlfn.TEXTAFTER(_xlfn.TEXTSPLIT(I29,"-"),"."))&lt;=K29)</formula1>
    </dataValidation>
    <dataValidation type="list" sqref="G26" xr:uid="{00000000-0002-0000-0100-000001000000}">
      <formula1>"SPAN,RSPAN,ERSPAN"</formula1>
    </dataValidation>
    <dataValidation type="list" sqref="L2" xr:uid="{00000000-0002-0000-01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L19" sqref="L19"/>
    </sheetView>
  </sheetViews>
  <sheetFormatPr defaultRowHeight="13.2" x14ac:dyDescent="0.25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5">
      <c r="A1" s="18" t="s">
        <v>39</v>
      </c>
      <c r="B1" s="18" t="s">
        <v>40</v>
      </c>
      <c r="C1" s="18" t="s">
        <v>68</v>
      </c>
      <c r="D1" s="18" t="s">
        <v>69</v>
      </c>
      <c r="E1" s="18" t="s">
        <v>70</v>
      </c>
      <c r="G1" s="20" t="s">
        <v>71</v>
      </c>
      <c r="H1" s="20" t="s">
        <v>72</v>
      </c>
    </row>
    <row r="2" spans="1:8" ht="26.4" x14ac:dyDescent="0.25">
      <c r="A2" s="19" t="s">
        <v>29</v>
      </c>
      <c r="B2" s="19" t="s">
        <v>8</v>
      </c>
      <c r="C2" s="19" t="s">
        <v>73</v>
      </c>
      <c r="D2" s="19">
        <v>67</v>
      </c>
      <c r="E2" s="19" t="s">
        <v>74</v>
      </c>
      <c r="G2" s="21" t="s">
        <v>75</v>
      </c>
      <c r="H2" s="21" t="s">
        <v>76</v>
      </c>
    </row>
    <row r="3" spans="1:8" ht="26.4" x14ac:dyDescent="0.25">
      <c r="A3" s="19" t="s">
        <v>29</v>
      </c>
      <c r="B3" s="19" t="s">
        <v>29</v>
      </c>
      <c r="C3" s="19" t="s">
        <v>77</v>
      </c>
      <c r="D3" s="19" t="s">
        <v>78</v>
      </c>
      <c r="E3" s="19" t="s">
        <v>74</v>
      </c>
      <c r="G3" s="21" t="s">
        <v>79</v>
      </c>
      <c r="H3" s="21" t="s">
        <v>80</v>
      </c>
    </row>
    <row r="4" spans="1:8" ht="26.4" x14ac:dyDescent="0.25">
      <c r="A4" s="19" t="s">
        <v>30</v>
      </c>
      <c r="B4" s="19" t="s">
        <v>8</v>
      </c>
      <c r="C4" s="19" t="s">
        <v>73</v>
      </c>
      <c r="D4" s="19">
        <v>67</v>
      </c>
      <c r="E4" s="19" t="s">
        <v>74</v>
      </c>
      <c r="G4" s="21" t="s">
        <v>81</v>
      </c>
      <c r="H4" s="21" t="s">
        <v>82</v>
      </c>
    </row>
    <row r="5" spans="1:8" ht="26.4" x14ac:dyDescent="0.25">
      <c r="A5" s="19" t="s">
        <v>30</v>
      </c>
      <c r="B5" s="19" t="s">
        <v>30</v>
      </c>
      <c r="C5" s="19" t="s">
        <v>77</v>
      </c>
      <c r="D5" s="19" t="s">
        <v>78</v>
      </c>
      <c r="E5" s="19" t="s">
        <v>83</v>
      </c>
      <c r="G5" s="21" t="s">
        <v>8</v>
      </c>
      <c r="H5" s="21" t="s">
        <v>84</v>
      </c>
    </row>
    <row r="6" spans="1:8" ht="26.4" x14ac:dyDescent="0.25">
      <c r="A6" s="19" t="s">
        <v>30</v>
      </c>
      <c r="B6" s="19" t="s">
        <v>85</v>
      </c>
      <c r="C6" s="19" t="s">
        <v>73</v>
      </c>
      <c r="D6" s="19">
        <v>53</v>
      </c>
      <c r="E6" s="19" t="s">
        <v>74</v>
      </c>
      <c r="G6" s="21" t="s">
        <v>86</v>
      </c>
      <c r="H6" s="21" t="s">
        <v>87</v>
      </c>
    </row>
    <row r="7" spans="1:8" ht="26.4" x14ac:dyDescent="0.25">
      <c r="A7" s="19" t="s">
        <v>30</v>
      </c>
      <c r="B7" s="19" t="s">
        <v>85</v>
      </c>
      <c r="C7" s="19" t="s">
        <v>88</v>
      </c>
      <c r="D7" s="19">
        <v>53</v>
      </c>
      <c r="E7" s="19" t="s">
        <v>74</v>
      </c>
      <c r="G7" s="21" t="s">
        <v>89</v>
      </c>
      <c r="H7" s="21" t="s">
        <v>90</v>
      </c>
    </row>
    <row r="8" spans="1:8" ht="39.6" x14ac:dyDescent="0.25">
      <c r="A8" s="19" t="s">
        <v>30</v>
      </c>
      <c r="B8" s="19" t="s">
        <v>91</v>
      </c>
      <c r="C8" s="19" t="s">
        <v>88</v>
      </c>
      <c r="D8" s="19">
        <v>80</v>
      </c>
      <c r="E8" s="19" t="s">
        <v>74</v>
      </c>
      <c r="G8" s="21" t="s">
        <v>33</v>
      </c>
      <c r="H8" s="21" t="s">
        <v>92</v>
      </c>
    </row>
    <row r="9" spans="1:8" ht="26.4" x14ac:dyDescent="0.25">
      <c r="A9" s="19" t="s">
        <v>30</v>
      </c>
      <c r="B9" s="19" t="s">
        <v>91</v>
      </c>
      <c r="C9" s="19" t="s">
        <v>88</v>
      </c>
      <c r="D9" s="19">
        <v>443</v>
      </c>
      <c r="E9" s="19" t="s">
        <v>74</v>
      </c>
      <c r="G9" s="21" t="s">
        <v>93</v>
      </c>
      <c r="H9" s="21" t="s">
        <v>94</v>
      </c>
    </row>
    <row r="10" spans="1:8" x14ac:dyDescent="0.25">
      <c r="A10" s="19" t="s">
        <v>31</v>
      </c>
      <c r="B10" s="19" t="s">
        <v>8</v>
      </c>
      <c r="C10" s="19" t="s">
        <v>73</v>
      </c>
      <c r="D10" s="19">
        <v>67</v>
      </c>
      <c r="E10" s="19" t="s">
        <v>74</v>
      </c>
    </row>
    <row r="11" spans="1:8" x14ac:dyDescent="0.25">
      <c r="A11" s="19" t="s">
        <v>31</v>
      </c>
      <c r="B11" s="19" t="s">
        <v>31</v>
      </c>
      <c r="C11" s="19" t="s">
        <v>77</v>
      </c>
      <c r="D11" s="19" t="s">
        <v>78</v>
      </c>
      <c r="E11" s="19" t="s">
        <v>74</v>
      </c>
    </row>
    <row r="12" spans="1:8" x14ac:dyDescent="0.25">
      <c r="A12" s="19" t="s">
        <v>32</v>
      </c>
      <c r="B12" s="19" t="s">
        <v>8</v>
      </c>
      <c r="C12" s="19" t="s">
        <v>73</v>
      </c>
      <c r="D12" s="19">
        <v>67</v>
      </c>
      <c r="E12" s="19" t="s">
        <v>74</v>
      </c>
    </row>
    <row r="13" spans="1:8" x14ac:dyDescent="0.25">
      <c r="A13" s="19" t="s">
        <v>32</v>
      </c>
      <c r="B13" s="19" t="s">
        <v>32</v>
      </c>
      <c r="C13" s="19" t="s">
        <v>77</v>
      </c>
      <c r="D13" s="19" t="s">
        <v>78</v>
      </c>
      <c r="E13" s="19" t="s">
        <v>74</v>
      </c>
    </row>
  </sheetData>
  <dataValidations count="4">
    <dataValidation type="list" sqref="A2:A200" xr:uid="{00000000-0002-0000-0200-000000000000}">
      <formula1>"MGMT,INET,UNET,PA,MONITORING"</formula1>
    </dataValidation>
    <dataValidation type="list" sqref="B2:B200" xr:uid="{00000000-0002-0000-0200-000001000000}">
      <formula1>"MGMT,INET,UNET,PA,MONITORING,INTERNET,ANY,DNS,DHCP,TACACS,SYSLOG,SELF"</formula1>
    </dataValidation>
    <dataValidation type="list" sqref="C2:C200" xr:uid="{00000000-0002-0000-0200-000002000000}">
      <formula1>"ip,tcp,udp,icmp,gre,esp,ah"</formula1>
    </dataValidation>
    <dataValidation type="list" sqref="E2:E200" xr:uid="{00000000-0002-0000-02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2026-09-22T07:56:32Z</dcterms:modified>
</cp:coreProperties>
</file>