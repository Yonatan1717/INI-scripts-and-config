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onat\Videos\INI\NO_MPLS_SAD\"/>
    </mc:Choice>
  </mc:AlternateContent>
  <xr:revisionPtr revIDLastSave="0" documentId="13_ncr:1_{8A6EC739-9A78-4A43-BDFF-45249EBE7A86}" xr6:coauthVersionLast="47" xr6:coauthVersionMax="47" xr10:uidLastSave="{00000000-0000-0000-0000-000000000000}"/>
  <bookViews>
    <workbookView xWindow="-105" yWindow="0" windowWidth="26010" windowHeight="20985" activeTab="1" xr2:uid="{00000000-000D-0000-FFFF-FFFF00000000}"/>
  </bookViews>
  <sheets>
    <sheet name="Site 1 (HUB)" sheetId="1" r:id="rId1"/>
    <sheet name="Site 2" sheetId="2" r:id="rId2"/>
    <sheet name="Site 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4" i="3" l="1"/>
  <c r="E24" i="3"/>
  <c r="J23" i="3"/>
  <c r="E23" i="3"/>
  <c r="A23" i="3"/>
  <c r="A20" i="3"/>
  <c r="I17" i="3" a="1"/>
  <c r="I17" i="3" s="1"/>
  <c r="C17" i="3"/>
  <c r="I16" i="3" a="1"/>
  <c r="I16" i="3" s="1"/>
  <c r="C16" i="3"/>
  <c r="I15" i="3" a="1"/>
  <c r="I15" i="3" s="1"/>
  <c r="C15" i="3"/>
  <c r="D12" i="3"/>
  <c r="D11" i="3"/>
  <c r="D10" i="3"/>
  <c r="H7" i="3"/>
  <c r="D7" i="3"/>
  <c r="G7" i="3" s="1"/>
  <c r="H6" i="3"/>
  <c r="D6" i="3"/>
  <c r="E6" i="3" s="1"/>
  <c r="H5" i="3"/>
  <c r="D5" i="3"/>
  <c r="E5" i="3" s="1"/>
  <c r="H2" i="3"/>
  <c r="C2" i="3"/>
  <c r="E16" i="3" s="1"/>
  <c r="J23" i="1"/>
  <c r="E23" i="1"/>
  <c r="A23" i="1"/>
  <c r="E24" i="2"/>
  <c r="J24" i="2"/>
  <c r="J23" i="2"/>
  <c r="H2" i="2"/>
  <c r="A23" i="2"/>
  <c r="I16" i="2" a="1"/>
  <c r="I16" i="2" s="1"/>
  <c r="I17" i="2" a="1"/>
  <c r="I17" i="2" s="1"/>
  <c r="C17" i="2"/>
  <c r="C16" i="2"/>
  <c r="C15" i="2"/>
  <c r="C16" i="1"/>
  <c r="C17" i="1"/>
  <c r="C15" i="1"/>
  <c r="E23" i="2"/>
  <c r="A20" i="2"/>
  <c r="A20" i="1"/>
  <c r="I15" i="2" a="1"/>
  <c r="I15" i="2" s="1"/>
  <c r="D12" i="2"/>
  <c r="D11" i="2"/>
  <c r="D10" i="2"/>
  <c r="H7" i="2"/>
  <c r="D7" i="2"/>
  <c r="H6" i="2"/>
  <c r="D6" i="2"/>
  <c r="H5" i="2"/>
  <c r="D5" i="2"/>
  <c r="C2" i="2"/>
  <c r="E17" i="2" s="1"/>
  <c r="D12" i="1"/>
  <c r="D11" i="1"/>
  <c r="D10" i="1"/>
  <c r="H7" i="1"/>
  <c r="D7" i="1"/>
  <c r="E7" i="1" s="1"/>
  <c r="H6" i="1"/>
  <c r="D6" i="1"/>
  <c r="E6" i="1" s="1"/>
  <c r="H5" i="1"/>
  <c r="D5" i="1"/>
  <c r="G5" i="1" s="1"/>
  <c r="C2" i="1"/>
  <c r="E16" i="1" s="1"/>
  <c r="G6" i="3" l="1"/>
  <c r="E17" i="3"/>
  <c r="E7" i="3"/>
  <c r="D24" i="3"/>
  <c r="D23" i="3"/>
  <c r="E15" i="3"/>
  <c r="G5" i="3"/>
  <c r="C23" i="1"/>
  <c r="E16" i="2"/>
  <c r="E15" i="2"/>
  <c r="E17" i="1"/>
  <c r="E15" i="1"/>
  <c r="E7" i="2"/>
  <c r="G7" i="2"/>
  <c r="E6" i="2"/>
  <c r="G6" i="2"/>
  <c r="E5" i="2"/>
  <c r="D24" i="2" s="1"/>
  <c r="G5" i="2"/>
  <c r="C24" i="2" s="1"/>
  <c r="E5" i="1"/>
  <c r="D23" i="1" s="1"/>
  <c r="G6" i="1"/>
  <c r="G7" i="1"/>
  <c r="C24" i="3" l="1"/>
  <c r="C23" i="3"/>
  <c r="C23" i="2"/>
  <c r="D2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<sst xmlns="http://schemas.openxmlformats.org/spreadsheetml/2006/main" count="254" uniqueCount="58">
  <si>
    <t>site</t>
  </si>
  <si>
    <t>intf_prefix</t>
  </si>
  <si>
    <t>router-id</t>
  </si>
  <si>
    <t>brukernavn</t>
  </si>
  <si>
    <t>passord</t>
  </si>
  <si>
    <t>vty_lines</t>
  </si>
  <si>
    <t>admin</t>
  </si>
  <si>
    <t>0 - 4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</si>
  <si>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</si>
  <si>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</si>
  <si>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</si>
  <si>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</si>
  <si>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</si>
  <si>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</si>
  <si>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</si>
  <si>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</si>
  <si>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MGMT</t>
  </si>
  <si>
    <t>255.255.0.0</t>
  </si>
  <si>
    <t>INET</t>
  </si>
  <si>
    <t>UNET</t>
  </si>
  <si>
    <t>rt</t>
  </si>
  <si>
    <t>loopback</t>
  </si>
  <si>
    <t>laddr</t>
  </si>
  <si>
    <t>1337:10</t>
  </si>
  <si>
    <t>1337:20</t>
  </si>
  <si>
    <t>1337:30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</si>
  <si>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</si>
  <si>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</si>
  <si>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</si>
  <si>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</si>
  <si>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</si>
  <si>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</si>
  <si>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</si>
  <si>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</si>
  <si>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</si>
  <si>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255.255.255.0</t>
  </si>
  <si>
    <t>multipoint</t>
  </si>
  <si>
    <t>tunnel 30</t>
  </si>
  <si>
    <t>antall-res</t>
  </si>
  <si>
    <t>pri-1-10</t>
  </si>
  <si>
    <t>SW</t>
  </si>
  <si>
    <t>MGMT Vlan</t>
  </si>
  <si>
    <t>MGMT ip</t>
  </si>
  <si>
    <t>vlan-antall</t>
  </si>
  <si>
    <t>num_ports</t>
  </si>
  <si>
    <t>g0/</t>
  </si>
  <si>
    <t>num_port_ledig</t>
  </si>
  <si>
    <t>pri-afxx</t>
  </si>
  <si>
    <t>secret</t>
  </si>
  <si>
    <t>$9$0nNdTjfcaOQFlP$4VgON16XmZXlfGr4BcOzEN7OoRxfPIAcXDQ0afwx67k</t>
  </si>
  <si>
    <t>tunnel 20</t>
  </si>
  <si>
    <t>ISP-VLAN</t>
  </si>
  <si>
    <t>TACACS-KEY</t>
  </si>
  <si>
    <t>tacacs_key</t>
  </si>
  <si>
    <t>num_downlink</t>
  </si>
  <si>
    <t>20.0-30.0</t>
  </si>
  <si>
    <t>DHCP</t>
  </si>
  <si>
    <t>20.1-200.1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</si>
</sst>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3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theme="1"/>
      <name val="Arial"/>
    </font>
    <font>
      <sz val="11"/>
      <color rgb="FF000000"/>
      <name val="Arial"/>
    </font>
    <font>
      <sz val="11"/>
      <color theme="1"/>
      <name val="Arial"/>
    </font>
    <font>
      <sz val="8"/>
      <name val="Arial"/>
      <scheme val="minor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1"/>
      <color rgb="FF000000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0" fillId="0" borderId="0" xfId="0" applyFont="1"/>
    <xf numFmtId="0" fontId="1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0" fontId="11" fillId="0" borderId="0" xfId="0" applyNumberFormat="1" applyFont="1" applyAlignment="1">
      <alignment horizontal="left" vertical="center" wrapText="1"/>
    </xf>
    <xf numFmtId="0" fontId="12" fillId="0" borderId="0" xfId="0" applyFont="1" applyAlignment="1">
      <alignment vertical="center" wrapText="1"/>
    </xf>
    <xf numFmtId="0" fontId="12" fillId="0" borderId="0" xfId="0" applyNumberFormat="1" applyFont="1" applyAlignment="1">
      <alignment vertical="center" wrapText="1"/>
    </xf>
  </cellXfs>
  <cellStyles count="1">
    <cellStyle name="Normal" xfId="0" builtinId="0"/>
  </cellStyles>
  <dxfs count="17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color theme="1"/>
      </font>
      <numFmt numFmtId="0" formatCode="General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1" indent="0" justifyLastLine="0" shrinkToFit="0" readingOrder="0"/>
    </dxf>
    <dxf>
      <font>
        <sz val="11"/>
        <color theme="1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minor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color theme="1"/>
      </font>
      <numFmt numFmtId="0" formatCode="General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1" indent="0" justifyLastLine="0" shrinkToFit="0" readingOrder="0"/>
    </dxf>
    <dxf>
      <font>
        <sz val="11"/>
        <color theme="1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minor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sz val="11"/>
        <color theme="1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minor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left" vertical="center" textRotation="0" wrapText="1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color theme="1"/>
      </font>
      <numFmt numFmtId="0" formatCode="General"/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6">
    <tableStyle name="Site 1 (HUB)-style" pivot="0" count="4" xr9:uid="{00000000-0011-0000-FFFF-FFFF00000000}">
      <tableStyleElement type="wholeTable" size="0" dxfId="170"/>
      <tableStyleElement type="headerRow" dxfId="169"/>
      <tableStyleElement type="firstRowStripe" dxfId="168"/>
      <tableStyleElement type="secondRowStripe" dxfId="167"/>
    </tableStyle>
    <tableStyle name="Site 3-style" pivot="0" count="4" xr9:uid="{00000000-0011-0000-FFFF-FFFF01000000}">
      <tableStyleElement type="wholeTable" size="0" dxfId="166"/>
      <tableStyleElement type="headerRow" dxfId="165"/>
      <tableStyleElement type="firstRowStripe" dxfId="164"/>
      <tableStyleElement type="secondRowStripe" dxfId="163"/>
    </tableStyle>
    <tableStyle name="Site 2-style" pivot="0" count="4" xr9:uid="{00000000-0011-0000-FFFF-FFFF02000000}">
      <tableStyleElement type="wholeTable" size="0" dxfId="162"/>
      <tableStyleElement type="headerRow" dxfId="161"/>
      <tableStyleElement type="firstRowStripe" dxfId="160"/>
      <tableStyleElement type="secondRowStripe" dxfId="159"/>
    </tableStyle>
    <tableStyle name="Site 4-style" pivot="0" count="4" xr9:uid="{00000000-0011-0000-FFFF-FFFF03000000}">
      <tableStyleElement type="wholeTable" size="0" dxfId="158"/>
      <tableStyleElement type="headerRow" dxfId="157"/>
      <tableStyleElement type="firstRowStripe" dxfId="156"/>
      <tableStyleElement type="secondRowStripe" dxfId="155"/>
    </tableStyle>
    <tableStyle name="Site 3-style 2" pivot="0" count="4" xr9:uid="{00000000-0011-0000-FFFF-FFFF04000000}">
      <tableStyleElement type="wholeTable" size="0" dxfId="154"/>
      <tableStyleElement type="headerRow" dxfId="153"/>
      <tableStyleElement type="firstRowStripe" dxfId="152"/>
      <tableStyleElement type="secondRowStripe" dxfId="151"/>
    </tableStyle>
    <tableStyle name="Site 1 (HUB)-style 2" pivot="0" count="4" xr9:uid="{00000000-0011-0000-FFFF-FFFF05000000}">
      <tableStyleElement type="wholeTable" size="0" dxfId="150"/>
      <tableStyleElement type="headerRow" dxfId="149"/>
      <tableStyleElement type="firstRowStripe" dxfId="148"/>
      <tableStyleElement type="secondRowStripe" dxfId="147"/>
    </tableStyle>
    <tableStyle name="Site 2-style 2" pivot="0" count="4" xr9:uid="{00000000-0011-0000-FFFF-FFFF06000000}">
      <tableStyleElement type="wholeTable" size="0" dxfId="146"/>
      <tableStyleElement type="headerRow" dxfId="145"/>
      <tableStyleElement type="firstRowStripe" dxfId="144"/>
      <tableStyleElement type="secondRowStripe" dxfId="143"/>
    </tableStyle>
    <tableStyle name="Site 3-style 3" pivot="0" count="4" xr9:uid="{00000000-0011-0000-FFFF-FFFF07000000}">
      <tableStyleElement type="wholeTable" size="0" dxfId="142"/>
      <tableStyleElement type="headerRow" dxfId="141"/>
      <tableStyleElement type="firstRowStripe" dxfId="140"/>
      <tableStyleElement type="secondRowStripe" dxfId="139"/>
    </tableStyle>
    <tableStyle name="Site 1 (HUB)-style 3" pivot="0" count="4" xr9:uid="{00000000-0011-0000-FFFF-FFFF08000000}">
      <tableStyleElement type="wholeTable" size="0" dxfId="138"/>
      <tableStyleElement type="headerRow" dxfId="137"/>
      <tableStyleElement type="firstRowStripe" dxfId="136"/>
      <tableStyleElement type="secondRowStripe" dxfId="135"/>
    </tableStyle>
    <tableStyle name="Site 4-style 2" pivot="0" count="4" xr9:uid="{00000000-0011-0000-FFFF-FFFF09000000}">
      <tableStyleElement type="wholeTable" size="0" dxfId="134"/>
      <tableStyleElement type="headerRow" dxfId="133"/>
      <tableStyleElement type="firstRowStripe" dxfId="132"/>
      <tableStyleElement type="secondRowStripe" dxfId="131"/>
    </tableStyle>
    <tableStyle name="Site 3-style 4" pivot="0" count="4" xr9:uid="{00000000-0011-0000-FFFF-FFFF0A000000}">
      <tableStyleElement type="wholeTable" size="0" dxfId="130"/>
      <tableStyleElement type="headerRow" dxfId="129"/>
      <tableStyleElement type="firstRowStripe" dxfId="128"/>
      <tableStyleElement type="secondRowStripe" dxfId="127"/>
    </tableStyle>
    <tableStyle name="Site 1 (HUB)-style 4" pivot="0" count="4" xr9:uid="{00000000-0011-0000-FFFF-FFFF0B000000}">
      <tableStyleElement type="wholeTable" size="0" dxfId="126"/>
      <tableStyleElement type="headerRow" dxfId="125"/>
      <tableStyleElement type="firstRowStripe" dxfId="124"/>
      <tableStyleElement type="secondRowStripe" dxfId="123"/>
    </tableStyle>
    <tableStyle name="Site 2-style 3" pivot="0" count="4" xr9:uid="{00000000-0011-0000-FFFF-FFFF0C000000}">
      <tableStyleElement type="wholeTable" size="0" dxfId="122"/>
      <tableStyleElement type="headerRow" dxfId="121"/>
      <tableStyleElement type="firstRowStripe" dxfId="120"/>
      <tableStyleElement type="secondRowStripe" dxfId="119"/>
    </tableStyle>
    <tableStyle name="Site 4-style 3" pivot="0" count="4" xr9:uid="{00000000-0011-0000-FFFF-FFFF0D000000}">
      <tableStyleElement type="wholeTable" size="0" dxfId="118"/>
      <tableStyleElement type="headerRow" dxfId="117"/>
      <tableStyleElement type="firstRowStripe" dxfId="116"/>
      <tableStyleElement type="secondRowStripe" dxfId="115"/>
    </tableStyle>
    <tableStyle name="Site 2-style 4" pivot="0" count="4" xr9:uid="{00000000-0011-0000-FFFF-FFFF0E000000}">
      <tableStyleElement type="wholeTable" size="0" dxfId="114"/>
      <tableStyleElement type="headerRow" dxfId="113"/>
      <tableStyleElement type="firstRowStripe" dxfId="112"/>
      <tableStyleElement type="secondRowStripe" dxfId="111"/>
    </tableStyle>
    <tableStyle name="Site 4-style 4" pivot="0" count="4" xr9:uid="{00000000-0011-0000-FFFF-FFFF0F000000}">
      <tableStyleElement type="wholeTable" size="0" dxfId="110"/>
      <tableStyleElement type="headerRow" dxfId="109"/>
      <tableStyleElement type="firstRowStripe" dxfId="108"/>
      <tableStyleElement type="secondRowStripe" dxfId="10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l5" displayName="Tabell5" ref="A1:I2">
  <tableColumns count="9">
    <tableColumn id="1" xr3:uid="{00000000-0010-0000-0000-000001000000}" name="site"/>
    <tableColumn id="2" xr3:uid="{00000000-0010-0000-0000-000002000000}" name="intf_prefix"/>
    <tableColumn id="3" xr3:uid="{00000000-0010-0000-0000-000003000000}" name="router-id"/>
    <tableColumn id="4" xr3:uid="{00000000-0010-0000-0000-000004000000}" name="brukernavn"/>
    <tableColumn id="5" xr3:uid="{00000000-0010-0000-0000-000005000000}" name="passord"/>
    <tableColumn id="6" xr3:uid="{00000000-0010-0000-0000-000006000000}" name="vty_lines"/>
    <tableColumn id="7" xr3:uid="{754ADF79-920D-4601-911B-DB20F4E9EEB9}" name="secret" dataDxfId="82"/>
    <tableColumn id="8" xr3:uid="{D293CCAB-D8AE-4182-83E6-F65F455FC5F2}" name="tacacs_key" dataDxfId="81"/>
    <tableColumn id="9" xr3:uid="{A1409C6A-F30B-4031-ADB8-676C007D78B3}" name="DHCP" dataDxfId="0"/>
  </tableColumns>
  <tableStyleInfo name="Site 1 (HUB)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l6" displayName="Tabell6" ref="A4:K7">
  <tableColumns count="11">
    <tableColumn id="1" xr3:uid="{00000000-0010-0000-0100-000001000000}" name="vrf"/>
    <tableColumn id="2" xr3:uid="{00000000-0010-0000-0100-000002000000}" name="vlan"/>
    <tableColumn id="3" xr3:uid="{00000000-0010-0000-0100-000003000000}" name="interface"/>
    <tableColumn id="4" xr3:uid="{00000000-0010-0000-0100-000004000000}" name="nett id"/>
    <tableColumn id="5" xr3:uid="{00000000-0010-0000-0100-000005000000}" name="gateway"/>
    <tableColumn id="6" xr3:uid="{00000000-0010-0000-0100-000006000000}" name="mask"/>
    <tableColumn id="7" xr3:uid="{00000000-0010-0000-0100-000007000000}" name="address min"/>
    <tableColumn id="8" xr3:uid="{00000000-0010-0000-0100-000008000000}" name="address max"/>
    <tableColumn id="9" xr3:uid="{CE1C3544-35AB-45BD-B168-A59522955D24}" name="antall-res" dataDxfId="80"/>
    <tableColumn id="10" xr3:uid="{5AE4CD65-C2FF-447E-B037-873FB4F36B65}" name="pri-afxx"/>
    <tableColumn id="11" xr3:uid="{BBB41126-CDAD-40BD-92C3-0A8EEC64127E}" name="pri-1-10"/>
  </tableColumns>
  <tableStyleInfo name="Site 1 (HUB)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ell7" displayName="Tabell7" ref="A9:D12">
  <tableColumns count="4">
    <tableColumn id="1" xr3:uid="{00000000-0010-0000-0200-000001000000}" name="vrf"/>
    <tableColumn id="2" xr3:uid="{00000000-0010-0000-0200-000002000000}" name="rt"/>
    <tableColumn id="3" xr3:uid="{00000000-0010-0000-0200-000003000000}" name="loopback"/>
    <tableColumn id="4" xr3:uid="{00000000-0010-0000-0200-000004000000}" name="laddr"/>
  </tableColumns>
  <tableStyleInfo name="Site 1 (HUB)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3000000}" name="Tabell8" displayName="Tabell8" ref="A14:J17">
  <tableColumns count="10">
    <tableColumn id="1" xr3:uid="{00000000-0010-0000-0300-000001000000}" name="tunnel id"/>
    <tableColumn id="2" xr3:uid="{00000000-0010-0000-0300-000002000000}" name="vrf"/>
    <tableColumn id="3" xr3:uid="{00000000-0010-0000-0300-000003000000}" name="ip address">
      <calculatedColumnFormula>172&amp;"."&amp;16&amp;"."&amp;0&amp;"."&amp;(H15+$A$2)</calculatedColumnFormula>
    </tableColumn>
    <tableColumn id="4" xr3:uid="{00000000-0010-0000-0300-000004000000}" name="mask"/>
    <tableColumn id="5" xr3:uid="{00000000-0010-0000-0300-000005000000}" name="source" dataDxfId="79">
      <calculatedColumnFormula>$C$2</calculatedColumnFormula>
    </tableColumn>
    <tableColumn id="6" xr3:uid="{00000000-0010-0000-0300-000006000000}" name="destination"/>
    <tableColumn id="7" xr3:uid="{00000000-0010-0000-0300-000007000000}" name="gre mode"/>
    <tableColumn id="8" xr3:uid="{00000000-0010-0000-0300-000008000000}" name="network-id"/>
    <tableColumn id="9" xr3:uid="{00000000-0010-0000-0300-000009000000}" name="ipsec"/>
    <tableColumn id="10" xr3:uid="{00000000-0010-0000-0300-00000A000000}" name="ipsec key"/>
  </tableColumns>
  <tableStyleInfo name="Site 1 (HUB)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9D18493-1508-418F-A690-377066CBE6D1}" name="Tabell131921" displayName="Tabell131921" ref="A19:F20" headerRowDxfId="78" dataDxfId="77" totalsRowDxfId="76">
  <tableColumns count="6">
    <tableColumn id="1" xr3:uid="{2906F324-3A93-4FB9-9A3C-D48E0E017DE1}" name="site" dataDxfId="75">
      <calculatedColumnFormula>A2</calculatedColumnFormula>
    </tableColumn>
    <tableColumn id="2" xr3:uid="{EACB8E41-CE14-43F2-9E46-F1D9E473C840}" name="brukernavn" dataDxfId="74"/>
    <tableColumn id="4" xr3:uid="{BDD570DD-38B1-4E0D-8E69-41BC5527F423}" name="passord" dataDxfId="73"/>
    <tableColumn id="5" xr3:uid="{0C9E5C25-E441-46FF-92BD-E2BEA9C8A2C6}" name="vty_lines" dataDxfId="72"/>
    <tableColumn id="3" xr3:uid="{E15E69AB-85DA-4C56-B495-1EB315268322}" name="secret" dataDxfId="71" totalsRowDxfId="70"/>
    <tableColumn id="6" xr3:uid="{AED40A1C-7FDA-4DCF-A52E-B4FC80E2A31D}" name="ISP-VLAN" dataDxfId="69" totalsRowDxfId="68"/>
  </tableColumns>
  <tableStyleInfo name="Site 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94D379E-7844-43E1-9A69-E543D4F66CAE}" name="Tabell1618242825" displayName="Tabell1618242825" ref="A22:J23" totalsRowShown="0" headerRowDxfId="56" totalsRowDxfId="55">
  <tableColumns count="10">
    <tableColumn id="1" xr3:uid="{A639BB91-B12B-4EED-AE86-29FAEE230445}" name="SW" dataDxfId="53" totalsRowDxfId="54">
      <calculatedColumnFormula>(ROW())-(ROW()-1)</calculatedColumnFormula>
    </tableColumn>
    <tableColumn id="2" xr3:uid="{DDEDC243-35DD-454B-A6C1-7C4D32FA2867}" name="MGMT Vlan" dataDxfId="51" totalsRowDxfId="52"/>
    <tableColumn id="3" xr3:uid="{38DD73AF-4967-4DE7-9CD2-7469CCB16A5B}" name="MGMT ip" dataDxfId="49" totalsRowDxfId="50">
      <calculatedColumnFormula>LEFT($G$5,LEN($G$5)-1)&amp;(RIGHT($G$5,1)+A23)</calculatedColumnFormula>
    </tableColumn>
    <tableColumn id="4" xr3:uid="{B639C5B3-A0C0-41EF-82FD-469668E690E4}" name="gateway" dataDxfId="47" totalsRowDxfId="48">
      <calculatedColumnFormula>$E$5</calculatedColumnFormula>
    </tableColumn>
    <tableColumn id="5" xr3:uid="{09CE4D96-47A5-4084-A00A-7E9FCF4320D1}" name="mask" dataDxfId="45" totalsRowDxfId="46">
      <calculatedColumnFormula>$F$5</calculatedColumnFormula>
    </tableColumn>
    <tableColumn id="10" xr3:uid="{B3A08C44-D3F1-407C-80E1-7495A53A74A2}" name="num_ports" dataDxfId="43" totalsRowDxfId="44"/>
    <tableColumn id="6" xr3:uid="{2D1EE5FB-CC49-41F2-9AB4-1A3F983A3CA3}" name="num_downlink" dataDxfId="42"/>
    <tableColumn id="7" xr3:uid="{5E9967C2-6052-41DD-8A9F-2F6A09502BCD}" name="vlan-antall" dataDxfId="40" totalsRowDxfId="41"/>
    <tableColumn id="8" xr3:uid="{77B04DFE-EDE0-479E-B0F4-8354D62C1E04}" name="intf_prefix" dataDxfId="38" totalsRowDxfId="39"/>
    <tableColumn id="9" xr3:uid="{46BF29F4-011C-4C0E-AE42-EC0A8E280964}" name="num_port_ledig" dataDxfId="36" totalsRowDxfId="37">
      <calculatedColumnFormula>$F23-$G23-2</calculatedColumnFormula>
    </tableColumn>
  </tableColumns>
  <tableStyleInfo name="Site 4-style 4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abell1" displayName="Tabell1" ref="A1:H2">
  <tableColumns count="8">
    <tableColumn id="1" xr3:uid="{00000000-0010-0000-0400-000001000000}" name="site"/>
    <tableColumn id="2" xr3:uid="{00000000-0010-0000-0400-000002000000}" name="intf_prefix"/>
    <tableColumn id="3" xr3:uid="{00000000-0010-0000-0400-000003000000}" name="router-id"/>
    <tableColumn id="4" xr3:uid="{00000000-0010-0000-0400-000004000000}" name="brukernavn"/>
    <tableColumn id="5" xr3:uid="{00000000-0010-0000-0400-000005000000}" name="passord"/>
    <tableColumn id="6" xr3:uid="{00000000-0010-0000-0400-000006000000}" name="vty_lines"/>
    <tableColumn id="7" xr3:uid="{AB00FC62-D408-4EC3-87DF-1FBB1D6A67CC}" name="secret" dataDxfId="106"/>
    <tableColumn id="8" xr3:uid="{0CA8018F-103D-4C3A-B1A5-842F9330657B}" name="tacacs_key" dataDxfId="105">
      <calculatedColumnFormula>'Site 1 (HUB)'!H2</calculatedColumnFormula>
    </tableColumn>
  </tableColumns>
  <tableStyleInfo name="Site 2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abell2" displayName="Tabell2" ref="A4:K7">
  <tableColumns count="11">
    <tableColumn id="1" xr3:uid="{00000000-0010-0000-0500-000001000000}" name="vrf"/>
    <tableColumn id="2" xr3:uid="{00000000-0010-0000-0500-000002000000}" name="vlan"/>
    <tableColumn id="3" xr3:uid="{00000000-0010-0000-0500-000003000000}" name="interface"/>
    <tableColumn id="4" xr3:uid="{00000000-0010-0000-0500-000004000000}" name="nett id"/>
    <tableColumn id="5" xr3:uid="{00000000-0010-0000-0500-000005000000}" name="gateway"/>
    <tableColumn id="6" xr3:uid="{00000000-0010-0000-0500-000006000000}" name="mask"/>
    <tableColumn id="7" xr3:uid="{00000000-0010-0000-0500-000007000000}" name="address min"/>
    <tableColumn id="8" xr3:uid="{00000000-0010-0000-0500-000008000000}" name="address max"/>
    <tableColumn id="9" xr3:uid="{FD71411A-F46A-4E62-B3D3-4B0E2ED5C489}" name="antall-res" dataDxfId="104"/>
    <tableColumn id="10" xr3:uid="{10BC51DC-9FCC-48A1-8D71-0913AE61C798}" name="pri-afxx"/>
    <tableColumn id="11" xr3:uid="{1CC9D42E-8B8D-4781-B4E6-7B024D0D4DB5}" name="pri-1-10"/>
  </tableColumns>
  <tableStyleInfo name="Site 2-style 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6000000}" name="Tabell3" displayName="Tabell3" ref="A9:D12">
  <tableColumns count="4">
    <tableColumn id="1" xr3:uid="{00000000-0010-0000-0600-000001000000}" name="vrf"/>
    <tableColumn id="2" xr3:uid="{00000000-0010-0000-0600-000002000000}" name="rt"/>
    <tableColumn id="3" xr3:uid="{00000000-0010-0000-0600-000003000000}" name="loopback"/>
    <tableColumn id="4" xr3:uid="{00000000-0010-0000-0600-000004000000}" name="laddr"/>
  </tableColumns>
  <tableStyleInfo name="Site 2-style 3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7000000}" name="Tabell4" displayName="Tabell4" ref="A14:J17">
  <tableColumns count="10">
    <tableColumn id="1" xr3:uid="{00000000-0010-0000-0700-000001000000}" name="tunnel id"/>
    <tableColumn id="2" xr3:uid="{00000000-0010-0000-0700-000002000000}" name="vrf"/>
    <tableColumn id="3" xr3:uid="{00000000-0010-0000-0700-000003000000}" name="ip address">
      <calculatedColumnFormula>172&amp;"."&amp;16&amp;"."&amp;0&amp;"."&amp;(H15+$A$2)</calculatedColumnFormula>
    </tableColumn>
    <tableColumn id="4" xr3:uid="{00000000-0010-0000-0700-000004000000}" name="mask"/>
    <tableColumn id="5" xr3:uid="{00000000-0010-0000-0700-000005000000}" name="source" dataDxfId="103">
      <calculatedColumnFormula>$C$2</calculatedColumnFormula>
    </tableColumn>
    <tableColumn id="6" xr3:uid="{00000000-0010-0000-0700-000006000000}" name="destination"/>
    <tableColumn id="7" xr3:uid="{00000000-0010-0000-0700-000007000000}" name="gre mode"/>
    <tableColumn id="8" xr3:uid="{00000000-0010-0000-0700-000008000000}" name="network-id"/>
    <tableColumn id="9" xr3:uid="{00000000-0010-0000-0700-000009000000}" name="ipsec"/>
    <tableColumn id="10" xr3:uid="{00000000-0010-0000-0700-00000A000000}" name="ipsec key"/>
  </tableColumns>
  <tableStyleInfo name="Site 2-style 4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EA312CD4-9955-4DBC-87B3-6D788BE89D2E}" name="Tabell13192530" displayName="Tabell13192530" ref="A19:E20" headerRowDxfId="102" dataDxfId="101" totalsRowDxfId="100">
  <tableColumns count="5">
    <tableColumn id="1" xr3:uid="{FCAD462F-C9DE-45E3-B342-8BC685D1666E}" name="site" dataDxfId="99">
      <calculatedColumnFormula>A2</calculatedColumnFormula>
    </tableColumn>
    <tableColumn id="4" xr3:uid="{A37D0432-8751-44ED-8106-422243C1F04B}" name="brukernavn" dataDxfId="98"/>
    <tableColumn id="5" xr3:uid="{1A9A17E0-8442-4E89-96DC-BC0A8BECBBCA}" name="passord" dataDxfId="97"/>
    <tableColumn id="3" xr3:uid="{F0C81F5E-B27A-43FB-83C1-1FEB580854DE}" name="vty_lines" dataDxfId="96" totalsRowDxfId="95"/>
    <tableColumn id="2" xr3:uid="{E8DA5B0D-4B09-4D1E-BDAB-BAC231407C4D}" name="secret" dataDxfId="94" totalsRowDxfId="93"/>
  </tableColumns>
  <tableStyleInfo name="Site 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46730A-1530-4A6C-8C70-0F2C6BF9753C}" name="Tabell161824282" displayName="Tabell161824282" ref="A22:J24" totalsRowShown="0" headerRowDxfId="92" totalsRowDxfId="91">
  <tableColumns count="10">
    <tableColumn id="1" xr3:uid="{15F3A197-501D-4FB4-9993-D97C276F45D1}" name="SW" dataDxfId="90" totalsRowDxfId="67">
      <calculatedColumnFormula>(ROW())-(ROW()-1)</calculatedColumnFormula>
    </tableColumn>
    <tableColumn id="2" xr3:uid="{74DD496A-588F-4B13-B651-6375E15475E0}" name="MGMT Vlan" dataDxfId="89" totalsRowDxfId="66"/>
    <tableColumn id="3" xr3:uid="{DADAFDFC-5D9A-4BEF-83FF-73C8B73914A7}" name="MGMT ip" dataDxfId="88" totalsRowDxfId="65">
      <calculatedColumnFormula>LEFT($G$5,LEN($G$5)-1)&amp;(RIGHT($G$5,1)+A23)</calculatedColumnFormula>
    </tableColumn>
    <tableColumn id="4" xr3:uid="{42D46B63-EECB-4A1E-9799-D2E7774B9BCD}" name="gateway" dataDxfId="87" totalsRowDxfId="64">
      <calculatedColumnFormula>$E$5</calculatedColumnFormula>
    </tableColumn>
    <tableColumn id="5" xr3:uid="{0BA7E9B1-43B9-44A7-AEF2-587DFD6DB8EE}" name="mask" dataDxfId="86" totalsRowDxfId="63">
      <calculatedColumnFormula>$F$5</calculatedColumnFormula>
    </tableColumn>
    <tableColumn id="10" xr3:uid="{ABE9A322-920A-45B2-8208-4C5BF949E975}" name="num_ports" dataDxfId="58" totalsRowDxfId="59"/>
    <tableColumn id="6" xr3:uid="{5B7AA8BC-D315-4E8D-8528-C2AE65848FDF}" name="num_downlink" dataDxfId="85"/>
    <tableColumn id="7" xr3:uid="{1088FF3C-FB1C-4E78-BE34-551D9AC36C3C}" name="vlan-antall" dataDxfId="57" totalsRowDxfId="60"/>
    <tableColumn id="8" xr3:uid="{19FD676B-E225-4461-8031-718593F85D50}" name="intf_prefix" dataDxfId="84" totalsRowDxfId="62"/>
    <tableColumn id="9" xr3:uid="{B26584E6-2A20-4139-9852-FBB25CD74431}" name="num_port_ledig" dataDxfId="83" totalsRowDxfId="61">
      <calculatedColumnFormula>$F23-$G23-2</calculatedColumnFormula>
    </tableColumn>
  </tableColumns>
  <tableStyleInfo name="Site 4-style 4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F39C48E-2E8B-4EBF-B634-E201347DA780}" name="Tabell17" displayName="Tabell17" ref="A1:H2">
  <tableColumns count="8">
    <tableColumn id="1" xr3:uid="{18DB95AF-5409-4D55-A98E-A450CFCD75F0}" name="site"/>
    <tableColumn id="2" xr3:uid="{58D21A86-CE00-4CF7-A835-0F8377E808C8}" name="intf_prefix"/>
    <tableColumn id="3" xr3:uid="{382318A4-339C-4956-94BD-3C6C9F9E2FDB}" name="router-id">
      <calculatedColumnFormula>A2&amp;"."&amp;A2&amp;"."&amp;A2&amp;".0"</calculatedColumnFormula>
    </tableColumn>
    <tableColumn id="4" xr3:uid="{D7A234D3-034E-4A19-A6E5-CCCB9F321ED9}" name="brukernavn"/>
    <tableColumn id="5" xr3:uid="{DD769197-A270-487E-AABC-F725CDF48CE0}" name="passord"/>
    <tableColumn id="6" xr3:uid="{0EA78CCF-491B-420A-B7E5-6F29E67F83B7}" name="vty_lines"/>
    <tableColumn id="7" xr3:uid="{A43BA295-35BB-4986-AAA0-82BA2930E97C}" name="secret" dataDxfId="35"/>
    <tableColumn id="8" xr3:uid="{4845DF5C-DFFF-455A-891F-443886F5F91B}" name="tacacs_key" dataDxfId="34">
      <calculatedColumnFormula>'Site 1 (HUB)'!H2</calculatedColumnFormula>
    </tableColumn>
  </tableColumns>
  <tableStyleInfo name="Site 2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11FC9E7-1FFA-4B8E-AEB2-732A7646BE00}" name="Tabell29" displayName="Tabell29" ref="A4:K7">
  <tableColumns count="11">
    <tableColumn id="1" xr3:uid="{064B279E-641A-4EE5-A064-CFFE5E067459}" name="vrf"/>
    <tableColumn id="2" xr3:uid="{E0B710D3-9B8E-418B-8998-BC4F9E380718}" name="vlan"/>
    <tableColumn id="3" xr3:uid="{0BEF9D25-445F-4B19-8AAE-43280CE9CB02}" name="interface"/>
    <tableColumn id="4" xr3:uid="{851D5E8A-B992-4888-929D-FBE6B992DB13}" name="nett id"/>
    <tableColumn id="5" xr3:uid="{DC674619-E469-4550-967E-FB6B32707663}" name="gateway">
      <calculatedColumnFormula>LEFT(D5,LEN(D5)-1)&amp;"1"</calculatedColumnFormula>
    </tableColumn>
    <tableColumn id="6" xr3:uid="{4E37D5CC-2F42-470C-AF6B-734AA2E55B33}" name="mask"/>
    <tableColumn id="7" xr3:uid="{D2468390-B84D-4BD9-AA0C-167CCDF9E92D}" name="address min">
      <calculatedColumnFormula>LEFT(D5,LEN(D5)-1)&amp;"1"</calculatedColumnFormula>
    </tableColumn>
    <tableColumn id="8" xr3:uid="{91D6E7D8-B3AC-437A-A785-412053F8E223}" name="address max"/>
    <tableColumn id="9" xr3:uid="{F41034B6-4D6A-483F-ABCB-4137DA01DE30}" name="antall-res" dataDxfId="33"/>
    <tableColumn id="10" xr3:uid="{6EDA0C76-8808-4526-96CD-F74F717D6C42}" name="pri-afxx"/>
    <tableColumn id="11" xr3:uid="{740A9BAE-AF16-4206-A97C-7FC36DF740DF}" name="pri-1-10"/>
  </tableColumns>
  <tableStyleInfo name="Site 2-style 2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2BC4639-44FB-4EF2-9834-80FF30A80A9C}" name="Tabell310" displayName="Tabell310" ref="A9:D12">
  <tableColumns count="4">
    <tableColumn id="1" xr3:uid="{7ED75EBE-39D6-406F-92D5-9C841E41C3C2}" name="vrf"/>
    <tableColumn id="2" xr3:uid="{0A545ED0-4AEA-404F-9D43-264B7E287830}" name="rt"/>
    <tableColumn id="3" xr3:uid="{E4392328-D89B-40D3-8B4B-C79E71EDAE51}" name="loopback"/>
    <tableColumn id="4" xr3:uid="{BB0B63EE-43E1-44D6-9F89-98A53DB62F05}" name="laddr"/>
  </tableColumns>
  <tableStyleInfo name="Site 2-style 3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2C1E509-29FA-467D-B098-6A22A014CC9F}" name="Tabell412" displayName="Tabell412" ref="A14:J17">
  <tableColumns count="10">
    <tableColumn id="1" xr3:uid="{E7273145-0FE2-4481-8411-F4837D6B9B49}" name="tunnel id"/>
    <tableColumn id="2" xr3:uid="{9DC2EEA6-0F71-45A0-9B23-87B7732D5683}" name="vrf"/>
    <tableColumn id="3" xr3:uid="{B248E884-35ED-4614-845A-87AE65E5A1ED}" name="ip address">
      <calculatedColumnFormula>172&amp;"."&amp;16&amp;"."&amp;0&amp;"."&amp;(H15+$A$2)</calculatedColumnFormula>
    </tableColumn>
    <tableColumn id="4" xr3:uid="{9FB1675A-D623-40C0-86FE-275F737ED9AD}" name="mask"/>
    <tableColumn id="5" xr3:uid="{96D9656A-2264-4FEA-ACB7-01A5DC848DF3}" name="source" dataDxfId="32">
      <calculatedColumnFormula>$C$2</calculatedColumnFormula>
    </tableColumn>
    <tableColumn id="6" xr3:uid="{620A2335-1FAB-4021-9550-A897969055EC}" name="destination"/>
    <tableColumn id="7" xr3:uid="{5358F0DF-6EF9-4238-AF75-F4A1596B138D}" name="gre mode"/>
    <tableColumn id="8" xr3:uid="{D9CF5E59-48A0-4F4C-8A3E-8CF25AA87E33}" name="network-id"/>
    <tableColumn id="9" xr3:uid="{F28CF941-942F-4757-98D7-A80635325D70}" name="ipsec">
      <calculatedColumnFormula array="1">_xlfn.XLOOKUP(1,( 'Site 1 (HUB)'!A:A=A15 )*( 'Site 1 (HUB)'!B:B=B15 ),'Site 1 (HUB)'!I:I)</calculatedColumnFormula>
    </tableColumn>
    <tableColumn id="10" xr3:uid="{028E3FDD-2D4E-4900-94D5-DDF1452DE886}" name="ipsec key"/>
  </tableColumns>
  <tableStyleInfo name="Site 2-style 4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520ECA7-F9D6-48B0-A209-AF47810B0692}" name="Tabell1319253015" displayName="Tabell1319253015" ref="A19:E20" headerRowDxfId="31" dataDxfId="30" totalsRowDxfId="29">
  <tableColumns count="5">
    <tableColumn id="1" xr3:uid="{40794628-1B58-4441-A376-BFB9A5B89F67}" name="site" dataDxfId="28">
      <calculatedColumnFormula>A2</calculatedColumnFormula>
    </tableColumn>
    <tableColumn id="4" xr3:uid="{1B11D2A4-9A10-42EA-850F-D6F6AC72498F}" name="brukernavn" dataDxfId="27"/>
    <tableColumn id="5" xr3:uid="{34FD6A85-BE68-47B3-BB7D-E810F9F5DAD4}" name="passord" dataDxfId="26"/>
    <tableColumn id="3" xr3:uid="{8EC423D8-8F10-497A-A01A-80146EC9F882}" name="vty_lines" dataDxfId="24" totalsRowDxfId="25"/>
    <tableColumn id="2" xr3:uid="{949799DB-164D-454E-932B-2A0A65C96512}" name="secret" dataDxfId="22" totalsRowDxfId="23"/>
  </tableColumns>
  <tableStyleInfo name="Site 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F1FEEE89-5472-4E46-842B-957BC7468053}" name="Tabell16182428217" displayName="Tabell16182428217" ref="A22:J24" totalsRowShown="0" headerRowDxfId="21" totalsRowDxfId="20">
  <tableColumns count="10">
    <tableColumn id="1" xr3:uid="{60C698D6-62E4-4F1B-94EA-0AAF8A6EEB3E}" name="SW" dataDxfId="18" totalsRowDxfId="19">
      <calculatedColumnFormula>(ROW())-(ROW()-1)</calculatedColumnFormula>
    </tableColumn>
    <tableColumn id="2" xr3:uid="{A203A4AB-36C7-48F6-AB50-EDD2D57AAFFB}" name="MGMT Vlan" dataDxfId="16" totalsRowDxfId="17"/>
    <tableColumn id="3" xr3:uid="{F3FDF8CC-C4D4-4A09-8BD3-50AF06E48D2A}" name="MGMT ip" dataDxfId="14" totalsRowDxfId="15">
      <calculatedColumnFormula>LEFT($G$5,LEN($G$5)-1)&amp;(RIGHT($G$5,1)+A23)</calculatedColumnFormula>
    </tableColumn>
    <tableColumn id="4" xr3:uid="{C718C222-C221-4F1F-9450-440F7E212BC0}" name="gateway" dataDxfId="12" totalsRowDxfId="13">
      <calculatedColumnFormula>$E$5</calculatedColumnFormula>
    </tableColumn>
    <tableColumn id="5" xr3:uid="{26EDA28B-CB04-4F5B-9722-A6710B4DF905}" name="mask" dataDxfId="10" totalsRowDxfId="11">
      <calculatedColumnFormula>$F$5</calculatedColumnFormula>
    </tableColumn>
    <tableColumn id="10" xr3:uid="{A442DE84-E237-4A61-8C23-AD4BB16FF6DF}" name="num_ports" dataDxfId="8" totalsRowDxfId="9"/>
    <tableColumn id="6" xr3:uid="{9C2FD180-858C-4945-B4D3-A0A1D6BEA732}" name="num_downlink" dataDxfId="7"/>
    <tableColumn id="7" xr3:uid="{5B1E678B-E7D6-41A1-9323-D3234AEF8E5F}" name="vlan-antall" dataDxfId="5" totalsRowDxfId="6"/>
    <tableColumn id="8" xr3:uid="{87F33D81-D922-440C-A76B-6EF97A1CCE88}" name="intf_prefix" dataDxfId="3" totalsRowDxfId="4"/>
    <tableColumn id="9" xr3:uid="{FA1EFF52-322F-4DAF-8708-88501DE270EF}" name="num_port_ledig" dataDxfId="1" totalsRowDxfId="2">
      <calculatedColumnFormula>$F23-$G23-2</calculatedColumnFormula>
    </tableColumn>
  </tableColumns>
  <tableStyleInfo name="Site 4-style 4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workbookViewId="0">
      <pane ySplit="1" topLeftCell="A2" activePane="bottomLeft" state="frozen"/>
      <selection pane="bottomLeft" activeCell="A22" sqref="A22:J23"/>
    </sheetView>
  </sheetViews>
  <sheetFormatPr defaultColWidth="12.5703125" defaultRowHeight="15" customHeight="1" x14ac:dyDescent="0.2"/>
  <cols>
    <col min="1" max="1" width="12.5703125" customWidth="1"/>
    <col min="2" max="2" width="12.7109375" customWidth="1"/>
    <col min="3" max="4" width="23.85546875" customWidth="1"/>
    <col min="5" max="6" width="12.5703125" customWidth="1"/>
    <col min="7" max="7" width="23.28515625" customWidth="1"/>
    <col min="9" max="9" width="18.42578125" customWidth="1"/>
    <col min="10" max="10" width="37.42578125" customWidth="1"/>
  </cols>
  <sheetData>
    <row r="1" spans="1:11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48</v>
      </c>
      <c r="H1" s="1" t="s">
        <v>53</v>
      </c>
      <c r="I1" s="1" t="s">
        <v>56</v>
      </c>
    </row>
    <row r="2" spans="1:11" ht="15.75" customHeight="1" x14ac:dyDescent="0.2">
      <c r="A2" s="2">
        <v>1</v>
      </c>
      <c r="B2" s="2" t="s">
        <v>45</v>
      </c>
      <c r="C2" s="2" t="str">
        <f>A2&amp;"."&amp;A2&amp;"."&amp;A2&amp;".0"</f>
        <v>1.1.1.0</v>
      </c>
      <c r="D2" s="2" t="s">
        <v>6</v>
      </c>
      <c r="E2" s="2" t="s">
        <v>49</v>
      </c>
      <c r="F2" s="2" t="s">
        <v>7</v>
      </c>
      <c r="G2" s="2" t="s">
        <v>49</v>
      </c>
      <c r="H2" s="2" t="s">
        <v>52</v>
      </c>
      <c r="I2" s="2" t="b">
        <v>1</v>
      </c>
    </row>
    <row r="3" spans="1:11" ht="15.75" customHeight="1" x14ac:dyDescent="0.25">
      <c r="A3" s="3"/>
      <c r="B3" s="4"/>
      <c r="C3" s="3"/>
      <c r="D3" s="3"/>
      <c r="E3" s="3"/>
      <c r="F3" s="3"/>
      <c r="G3" s="3"/>
      <c r="H3" s="3"/>
    </row>
    <row r="4" spans="1:11" ht="15.75" customHeight="1" x14ac:dyDescent="0.2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5" t="s">
        <v>38</v>
      </c>
      <c r="J4" s="14" t="s">
        <v>47</v>
      </c>
      <c r="K4" s="14" t="s">
        <v>39</v>
      </c>
    </row>
    <row r="5" spans="1:11" ht="15.75" customHeight="1" x14ac:dyDescent="0.2">
      <c r="A5" s="6" t="s">
        <v>16</v>
      </c>
      <c r="B5" s="7">
        <v>10</v>
      </c>
      <c r="C5" s="6">
        <v>0</v>
      </c>
      <c r="D5" s="6" t="str">
        <f>10&amp;"."&amp;(B5+A2)&amp;"."&amp;0&amp;"."&amp;0</f>
        <v>10.11.0.0</v>
      </c>
      <c r="E5" s="6" t="str">
        <f t="shared" ref="E5:E7" si="0">LEFT(D5,LEN(D5)-1)&amp;"1"</f>
        <v>10.11.0.1</v>
      </c>
      <c r="F5" s="6" t="s">
        <v>17</v>
      </c>
      <c r="G5" s="6" t="str">
        <f t="shared" ref="G5:G7" si="1">LEFT(D5,LEN(D5)-1)&amp;"1"</f>
        <v>10.11.0.1</v>
      </c>
      <c r="H5" s="6" t="str">
        <f ca="1">IFERROR(__xludf.DUMMYFUNCTION("REGEXREPLACE(D5,""\.[0-9]+\.[0-9]+$"","".255.254"")"),"10.11.255.254")</f>
        <v>10.11.255.254</v>
      </c>
      <c r="I5" s="6">
        <v>10</v>
      </c>
      <c r="J5" s="15">
        <v>21</v>
      </c>
      <c r="K5" s="15">
        <v>5</v>
      </c>
    </row>
    <row r="6" spans="1:11" ht="15.75" customHeight="1" x14ac:dyDescent="0.2">
      <c r="A6" s="6" t="s">
        <v>18</v>
      </c>
      <c r="B6" s="7">
        <v>20</v>
      </c>
      <c r="C6" s="6">
        <v>0</v>
      </c>
      <c r="D6" s="6" t="str">
        <f>10&amp;"."&amp;(B6+A2)&amp;"."&amp;0&amp;"."&amp;0</f>
        <v>10.21.0.0</v>
      </c>
      <c r="E6" s="6" t="str">
        <f t="shared" si="0"/>
        <v>10.21.0.1</v>
      </c>
      <c r="F6" s="6" t="s">
        <v>17</v>
      </c>
      <c r="G6" s="6" t="str">
        <f t="shared" si="1"/>
        <v>10.21.0.1</v>
      </c>
      <c r="H6" s="6" t="str">
        <f ca="1">IFERROR(__xludf.DUMMYFUNCTION("REGEXREPLACE(D6,""\.[0-9]+\.[0-9]+$"","".255.254"")"),"10.21.255.254")</f>
        <v>10.21.255.254</v>
      </c>
      <c r="I6" s="6">
        <v>10</v>
      </c>
      <c r="J6" s="15">
        <v>11</v>
      </c>
      <c r="K6" s="15">
        <v>2</v>
      </c>
    </row>
    <row r="7" spans="1:11" ht="15.75" customHeight="1" x14ac:dyDescent="0.2">
      <c r="A7" s="6" t="s">
        <v>19</v>
      </c>
      <c r="B7" s="7">
        <v>30</v>
      </c>
      <c r="C7" s="6">
        <v>0</v>
      </c>
      <c r="D7" s="6" t="str">
        <f>10&amp;"."&amp;(B7+A2)&amp;"."&amp;0&amp;"."&amp;0</f>
        <v>10.31.0.0</v>
      </c>
      <c r="E7" s="6" t="str">
        <f t="shared" si="0"/>
        <v>10.31.0.1</v>
      </c>
      <c r="F7" s="6" t="s">
        <v>17</v>
      </c>
      <c r="G7" s="6" t="str">
        <f t="shared" si="1"/>
        <v>10.31.0.1</v>
      </c>
      <c r="H7" s="6" t="str">
        <f ca="1">IFERROR(__xludf.DUMMYFUNCTION("REGEXREPLACE(D7,""\.[0-9]+\.[0-9]+$"","".255.254"")"),"10.31.255.254")</f>
        <v>10.31.255.254</v>
      </c>
      <c r="I7" s="6">
        <v>10</v>
      </c>
      <c r="J7">
        <v>41</v>
      </c>
      <c r="K7">
        <v>10</v>
      </c>
    </row>
    <row r="8" spans="1:11" ht="15.75" customHeight="1" x14ac:dyDescent="0.2">
      <c r="A8" s="8"/>
      <c r="B8" s="8"/>
    </row>
    <row r="9" spans="1:11" ht="15.75" customHeight="1" x14ac:dyDescent="0.2">
      <c r="A9" s="5" t="s">
        <v>8</v>
      </c>
      <c r="B9" s="5" t="s">
        <v>20</v>
      </c>
      <c r="C9" s="5" t="s">
        <v>21</v>
      </c>
      <c r="D9" s="5" t="s">
        <v>22</v>
      </c>
    </row>
    <row r="10" spans="1:11" ht="15.75" customHeight="1" x14ac:dyDescent="0.2">
      <c r="A10" s="6" t="s">
        <v>16</v>
      </c>
      <c r="B10" s="7" t="s">
        <v>23</v>
      </c>
      <c r="C10" s="6">
        <v>10</v>
      </c>
      <c r="D10" s="6" t="str">
        <f>A2&amp;"."&amp;A2&amp;"."&amp;A2&amp;"."&amp;(C10)</f>
        <v>1.1.1.10</v>
      </c>
    </row>
    <row r="11" spans="1:11" ht="15.75" customHeight="1" x14ac:dyDescent="0.2">
      <c r="A11" s="6" t="s">
        <v>18</v>
      </c>
      <c r="B11" s="7" t="s">
        <v>24</v>
      </c>
      <c r="C11" s="6">
        <v>20</v>
      </c>
      <c r="D11" s="6" t="str">
        <f>A2&amp;"."&amp;A2&amp;"."&amp;A2&amp;"."&amp;(C11)</f>
        <v>1.1.1.20</v>
      </c>
    </row>
    <row r="12" spans="1:11" ht="15.75" customHeight="1" x14ac:dyDescent="0.2">
      <c r="A12" s="6" t="s">
        <v>19</v>
      </c>
      <c r="B12" s="7" t="s">
        <v>25</v>
      </c>
      <c r="C12" s="6">
        <v>30</v>
      </c>
      <c r="D12" s="6" t="str">
        <f>A2&amp;"."&amp;A2&amp;"."&amp;A2&amp;"."&amp;(C12)</f>
        <v>1.1.1.30</v>
      </c>
    </row>
    <row r="13" spans="1:11" ht="15.75" customHeight="1" x14ac:dyDescent="0.2"/>
    <row r="14" spans="1:11" ht="15.75" customHeight="1" x14ac:dyDescent="0.2">
      <c r="A14" s="5" t="s">
        <v>26</v>
      </c>
      <c r="B14" s="5" t="s">
        <v>8</v>
      </c>
      <c r="C14" s="5" t="s">
        <v>27</v>
      </c>
      <c r="D14" s="5" t="s">
        <v>13</v>
      </c>
      <c r="E14" s="5" t="s">
        <v>28</v>
      </c>
      <c r="F14" s="5" t="s">
        <v>29</v>
      </c>
      <c r="G14" s="5" t="s">
        <v>30</v>
      </c>
      <c r="H14" s="1" t="s">
        <v>31</v>
      </c>
      <c r="I14" s="1" t="s">
        <v>32</v>
      </c>
      <c r="J14" s="1" t="s">
        <v>33</v>
      </c>
    </row>
    <row r="15" spans="1:11" ht="15.75" customHeight="1" x14ac:dyDescent="0.2">
      <c r="A15" s="6" t="s">
        <v>34</v>
      </c>
      <c r="B15" s="6" t="s">
        <v>16</v>
      </c>
      <c r="C15" s="6" t="str">
        <f>172&amp;"."&amp;16&amp;"."&amp;0&amp;"."&amp;(H15+$A$2)</f>
        <v>172.16.0.11</v>
      </c>
      <c r="D15" s="6" t="s">
        <v>35</v>
      </c>
      <c r="E15" s="6" t="str">
        <f t="shared" ref="E15:E17" si="2">$C$2</f>
        <v>1.1.1.0</v>
      </c>
      <c r="F15" s="6"/>
      <c r="G15" s="6" t="s">
        <v>36</v>
      </c>
      <c r="H15" s="2">
        <v>10</v>
      </c>
      <c r="I15" s="2"/>
      <c r="J15" s="2"/>
    </row>
    <row r="16" spans="1:11" ht="15.75" customHeight="1" x14ac:dyDescent="0.2">
      <c r="A16" s="6" t="s">
        <v>50</v>
      </c>
      <c r="B16" s="6" t="s">
        <v>18</v>
      </c>
      <c r="C16" s="6" t="str">
        <f t="shared" ref="C16:C17" si="3">172&amp;"."&amp;16&amp;"."&amp;0&amp;"."&amp;(H16+$A$2)</f>
        <v>172.16.0.21</v>
      </c>
      <c r="D16" s="6" t="s">
        <v>35</v>
      </c>
      <c r="E16" s="6" t="str">
        <f t="shared" si="2"/>
        <v>1.1.1.0</v>
      </c>
      <c r="F16" s="6"/>
      <c r="G16" s="6" t="s">
        <v>36</v>
      </c>
      <c r="H16" s="2">
        <v>20</v>
      </c>
      <c r="I16" s="2"/>
      <c r="J16" s="2"/>
    </row>
    <row r="17" spans="1:10" ht="15.75" customHeight="1" x14ac:dyDescent="0.2">
      <c r="A17" s="6" t="s">
        <v>37</v>
      </c>
      <c r="B17" s="6" t="s">
        <v>19</v>
      </c>
      <c r="C17" s="6" t="str">
        <f t="shared" si="3"/>
        <v>172.16.0.31</v>
      </c>
      <c r="D17" s="6" t="s">
        <v>35</v>
      </c>
      <c r="E17" s="6" t="str">
        <f t="shared" si="2"/>
        <v>1.1.1.0</v>
      </c>
      <c r="F17" s="6"/>
      <c r="G17" s="6" t="s">
        <v>36</v>
      </c>
      <c r="H17" s="2">
        <v>30</v>
      </c>
      <c r="I17" s="2" t="b">
        <v>1</v>
      </c>
      <c r="J17" s="2"/>
    </row>
    <row r="18" spans="1:10" ht="15.75" customHeight="1" x14ac:dyDescent="0.2">
      <c r="A18" s="9"/>
      <c r="B18" s="9"/>
      <c r="C18" s="9"/>
      <c r="D18" s="9"/>
      <c r="E18" s="9"/>
      <c r="F18" s="9"/>
      <c r="G18" s="9"/>
    </row>
    <row r="19" spans="1:10" ht="15.75" customHeight="1" x14ac:dyDescent="0.2">
      <c r="A19" s="10" t="s">
        <v>0</v>
      </c>
      <c r="B19" s="10" t="s">
        <v>3</v>
      </c>
      <c r="C19" s="10" t="s">
        <v>4</v>
      </c>
      <c r="D19" s="10" t="s">
        <v>5</v>
      </c>
      <c r="E19" s="10" t="s">
        <v>48</v>
      </c>
      <c r="F19" s="10" t="s">
        <v>51</v>
      </c>
    </row>
    <row r="20" spans="1:10" ht="15.75" customHeight="1" x14ac:dyDescent="0.2">
      <c r="A20" s="11">
        <f>A2</f>
        <v>1</v>
      </c>
      <c r="B20" s="11" t="s">
        <v>6</v>
      </c>
      <c r="C20" s="11" t="s">
        <v>49</v>
      </c>
      <c r="D20" s="11" t="s">
        <v>7</v>
      </c>
      <c r="E20" s="11" t="s">
        <v>49</v>
      </c>
      <c r="F20" s="11">
        <v>200</v>
      </c>
    </row>
    <row r="21" spans="1:10" ht="15.75" customHeight="1" x14ac:dyDescent="0.2"/>
    <row r="22" spans="1:10" ht="15.75" customHeight="1" x14ac:dyDescent="0.2">
      <c r="A22" s="5" t="s">
        <v>40</v>
      </c>
      <c r="B22" s="5" t="s">
        <v>41</v>
      </c>
      <c r="C22" s="5" t="s">
        <v>42</v>
      </c>
      <c r="D22" s="5" t="s">
        <v>12</v>
      </c>
      <c r="E22" s="5" t="s">
        <v>13</v>
      </c>
      <c r="F22" s="5" t="s">
        <v>44</v>
      </c>
      <c r="G22" s="17" t="s">
        <v>54</v>
      </c>
      <c r="H22" s="5" t="s">
        <v>43</v>
      </c>
      <c r="I22" s="10" t="s">
        <v>1</v>
      </c>
      <c r="J22" s="10" t="s">
        <v>46</v>
      </c>
    </row>
    <row r="23" spans="1:10" ht="39" customHeight="1" x14ac:dyDescent="0.2">
      <c r="A23" s="6">
        <f>(ROW())-(ROW()-1)</f>
        <v>1</v>
      </c>
      <c r="B23" s="6">
        <v>10</v>
      </c>
      <c r="C23" s="6" t="str">
        <f>LEFT($G$5,LEN($G$5)-1)&amp;(RIGHT($G$5,1)+A23)</f>
        <v>10.11.0.2</v>
      </c>
      <c r="D23" s="6" t="str">
        <f>$E$5</f>
        <v>10.11.0.1</v>
      </c>
      <c r="E23" s="6" t="str">
        <f>$F$5</f>
        <v>255.255.0.0</v>
      </c>
      <c r="F23" s="6">
        <v>4</v>
      </c>
      <c r="G23" s="16">
        <v>0</v>
      </c>
      <c r="H23" s="6" t="s">
        <v>57</v>
      </c>
      <c r="I23" s="11" t="s">
        <v>45</v>
      </c>
      <c r="J23" s="11">
        <f>$F23-$G23-2</f>
        <v>2</v>
      </c>
    </row>
    <row r="24" spans="1:10" ht="15.75" customHeight="1" x14ac:dyDescent="0.2"/>
    <row r="25" spans="1:10" ht="15.75" customHeight="1" x14ac:dyDescent="0.2"/>
    <row r="26" spans="1:10" ht="15.75" customHeight="1" x14ac:dyDescent="0.2"/>
    <row r="27" spans="1:10" ht="15.75" customHeight="1" x14ac:dyDescent="0.2"/>
    <row r="28" spans="1:10" ht="15.75" customHeight="1" x14ac:dyDescent="0.2"/>
    <row r="29" spans="1:10" ht="15.75" customHeight="1" x14ac:dyDescent="0.2"/>
    <row r="30" spans="1:10" ht="15.75" customHeight="1" x14ac:dyDescent="0.2"/>
    <row r="31" spans="1:10" ht="15.75" customHeight="1" x14ac:dyDescent="0.2"/>
    <row r="32" spans="1:10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honeticPr fontId="6" type="noConversion"/>
  <dataValidations count="1">
    <dataValidation type="custom" allowBlank="1" showInputMessage="1" showErrorMessage="1" sqref="H23" xr:uid="{03BCF77C-42DF-4C47-A434-8A29680E17A5}">
      <formula1>IF(H23="",TRUE,SUM(--_xlfn.TEXTAFTER(_xlfn.TEXTSPLIT(H23,"-"),"."))&lt;=J23)</formula1>
    </dataValidation>
  </dataValidations>
  <pageMargins left="0.7" right="0.7" top="0.75" bottom="0.75" header="0" footer="0"/>
  <pageSetup orientation="landscape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994"/>
  <sheetViews>
    <sheetView tabSelected="1" workbookViewId="0">
      <pane ySplit="1" topLeftCell="A2" activePane="bottomLeft" state="frozen"/>
      <selection pane="bottomLeft" activeCell="H30" sqref="H30"/>
    </sheetView>
  </sheetViews>
  <sheetFormatPr defaultColWidth="12.5703125" defaultRowHeight="15" customHeight="1" x14ac:dyDescent="0.2"/>
  <cols>
    <col min="1" max="1" width="12.5703125" customWidth="1"/>
    <col min="2" max="2" width="12.7109375" customWidth="1"/>
    <col min="3" max="3" width="12.5703125" customWidth="1"/>
    <col min="4" max="4" width="14.5703125" customWidth="1"/>
    <col min="5" max="6" width="12.5703125" customWidth="1"/>
    <col min="8" max="8" width="29.5703125" customWidth="1"/>
    <col min="9" max="9" width="26.5703125" customWidth="1"/>
  </cols>
  <sheetData>
    <row r="1" spans="1:11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48</v>
      </c>
      <c r="H1" s="1" t="s">
        <v>53</v>
      </c>
    </row>
    <row r="2" spans="1:11" ht="15.75" customHeight="1" x14ac:dyDescent="0.2">
      <c r="A2" s="2">
        <v>2</v>
      </c>
      <c r="B2" s="2" t="s">
        <v>45</v>
      </c>
      <c r="C2" s="2" t="str">
        <f>A2&amp;"."&amp;A2&amp;"."&amp;A2&amp;".0"</f>
        <v>2.2.2.0</v>
      </c>
      <c r="D2" s="2" t="s">
        <v>6</v>
      </c>
      <c r="E2" s="2" t="s">
        <v>49</v>
      </c>
      <c r="F2" s="2" t="s">
        <v>7</v>
      </c>
      <c r="G2" s="2" t="s">
        <v>49</v>
      </c>
      <c r="H2" s="2" t="str">
        <f>'Site 1 (HUB)'!H2</f>
        <v>TACACS-KEY</v>
      </c>
    </row>
    <row r="3" spans="1:11" ht="15.75" customHeight="1" x14ac:dyDescent="0.25">
      <c r="A3" s="3"/>
      <c r="B3" s="4"/>
      <c r="C3" s="3"/>
      <c r="D3" s="3"/>
      <c r="E3" s="3"/>
      <c r="F3" s="3"/>
      <c r="G3" s="3"/>
      <c r="H3" s="3"/>
    </row>
    <row r="4" spans="1:11" ht="31.5" customHeight="1" x14ac:dyDescent="0.2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12" t="s">
        <v>14</v>
      </c>
      <c r="H4" s="12" t="s">
        <v>15</v>
      </c>
      <c r="I4" s="12" t="s">
        <v>38</v>
      </c>
      <c r="J4" s="14" t="s">
        <v>47</v>
      </c>
      <c r="K4" s="14" t="s">
        <v>39</v>
      </c>
    </row>
    <row r="5" spans="1:11" ht="15.75" customHeight="1" x14ac:dyDescent="0.2">
      <c r="A5" s="6" t="s">
        <v>16</v>
      </c>
      <c r="B5" s="7">
        <v>10</v>
      </c>
      <c r="C5" s="6">
        <v>0</v>
      </c>
      <c r="D5" s="6" t="str">
        <f>10&amp;"."&amp;(B5+A2)&amp;"."&amp;0&amp;"."&amp;0</f>
        <v>10.12.0.0</v>
      </c>
      <c r="E5" s="6" t="str">
        <f t="shared" ref="E5:E7" si="0">LEFT(D5,LEN(D5)-1)&amp;"1"</f>
        <v>10.12.0.1</v>
      </c>
      <c r="F5" s="6" t="s">
        <v>17</v>
      </c>
      <c r="G5" s="6" t="str">
        <f t="shared" ref="G5:G7" si="1">LEFT(D5,LEN(D5)-1)&amp;"1"</f>
        <v>10.12.0.1</v>
      </c>
      <c r="H5" s="6" t="str">
        <f ca="1">IFERROR(__xludf.DUMMYFUNCTION("REGEXREPLACE(D5,""\.[0-9]+\.[0-9]+$"","".255.254"")"),"10.12.255.254")</f>
        <v>10.12.255.254</v>
      </c>
      <c r="I5" s="6">
        <v>10</v>
      </c>
      <c r="J5" s="15">
        <v>21</v>
      </c>
      <c r="K5" s="15">
        <v>5</v>
      </c>
    </row>
    <row r="6" spans="1:11" ht="15.75" customHeight="1" x14ac:dyDescent="0.2">
      <c r="A6" s="6" t="s">
        <v>18</v>
      </c>
      <c r="B6" s="7">
        <v>20</v>
      </c>
      <c r="C6" s="6">
        <v>0</v>
      </c>
      <c r="D6" s="6" t="str">
        <f>10&amp;"."&amp;(B6+A2)&amp;"."&amp;0&amp;"."&amp;0</f>
        <v>10.22.0.0</v>
      </c>
      <c r="E6" s="6" t="str">
        <f t="shared" si="0"/>
        <v>10.22.0.1</v>
      </c>
      <c r="F6" s="6" t="s">
        <v>17</v>
      </c>
      <c r="G6" s="6" t="str">
        <f t="shared" si="1"/>
        <v>10.22.0.1</v>
      </c>
      <c r="H6" s="6" t="str">
        <f ca="1">IFERROR(__xludf.DUMMYFUNCTION("REGEXREPLACE(D6,""\.[0-9]+\.[0-9]+$"","".255.254"")"),"10.22.255.254")</f>
        <v>10.22.255.254</v>
      </c>
      <c r="I6" s="6">
        <v>10</v>
      </c>
      <c r="J6" s="15">
        <v>11</v>
      </c>
      <c r="K6" s="15">
        <v>2</v>
      </c>
    </row>
    <row r="7" spans="1:11" ht="15.75" customHeight="1" x14ac:dyDescent="0.2">
      <c r="A7" s="6" t="s">
        <v>19</v>
      </c>
      <c r="B7" s="7">
        <v>30</v>
      </c>
      <c r="C7" s="6">
        <v>0</v>
      </c>
      <c r="D7" s="6" t="str">
        <f>10&amp;"."&amp;(B7+A2)&amp;"."&amp;0&amp;"."&amp;0</f>
        <v>10.32.0.0</v>
      </c>
      <c r="E7" s="6" t="str">
        <f t="shared" si="0"/>
        <v>10.32.0.1</v>
      </c>
      <c r="F7" s="6" t="s">
        <v>17</v>
      </c>
      <c r="G7" s="6" t="str">
        <f t="shared" si="1"/>
        <v>10.32.0.1</v>
      </c>
      <c r="H7" s="6" t="str">
        <f ca="1">IFERROR(__xludf.DUMMYFUNCTION("REGEXREPLACE(D7,""\.[0-9]+\.[0-9]+$"","".255.254"")"),"10.32.255.254")</f>
        <v>10.32.255.254</v>
      </c>
      <c r="I7" s="6">
        <v>10</v>
      </c>
      <c r="J7">
        <v>41</v>
      </c>
      <c r="K7">
        <v>10</v>
      </c>
    </row>
    <row r="8" spans="1:11" ht="15.75" customHeight="1" x14ac:dyDescent="0.2">
      <c r="A8" s="8"/>
      <c r="B8" s="8"/>
    </row>
    <row r="9" spans="1:11" ht="15.75" customHeight="1" x14ac:dyDescent="0.2">
      <c r="A9" s="5" t="s">
        <v>8</v>
      </c>
      <c r="B9" s="5" t="s">
        <v>20</v>
      </c>
      <c r="C9" s="5" t="s">
        <v>21</v>
      </c>
      <c r="D9" s="5" t="s">
        <v>22</v>
      </c>
    </row>
    <row r="10" spans="1:11" ht="15.75" customHeight="1" x14ac:dyDescent="0.2">
      <c r="A10" s="6" t="s">
        <v>16</v>
      </c>
      <c r="B10" s="7" t="s">
        <v>23</v>
      </c>
      <c r="C10" s="6">
        <v>10</v>
      </c>
      <c r="D10" s="6" t="str">
        <f>A2&amp;"."&amp;A2&amp;"."&amp;A2&amp;"."&amp;(C10)</f>
        <v>2.2.2.10</v>
      </c>
    </row>
    <row r="11" spans="1:11" ht="15.75" customHeight="1" x14ac:dyDescent="0.2">
      <c r="A11" s="6" t="s">
        <v>18</v>
      </c>
      <c r="B11" s="7" t="s">
        <v>24</v>
      </c>
      <c r="C11" s="6">
        <v>20</v>
      </c>
      <c r="D11" s="6" t="str">
        <f>A2&amp;"."&amp;A2&amp;"."&amp;A2&amp;"."&amp;(C11)</f>
        <v>2.2.2.20</v>
      </c>
    </row>
    <row r="12" spans="1:11" ht="15.75" customHeight="1" x14ac:dyDescent="0.2">
      <c r="A12" s="6" t="s">
        <v>19</v>
      </c>
      <c r="B12" s="7" t="s">
        <v>25</v>
      </c>
      <c r="C12" s="6">
        <v>30</v>
      </c>
      <c r="D12" s="6" t="str">
        <f>A2&amp;"."&amp;A2&amp;"."&amp;A2&amp;"."&amp;(C12)</f>
        <v>2.2.2.30</v>
      </c>
    </row>
    <row r="13" spans="1:11" ht="15.75" customHeight="1" x14ac:dyDescent="0.2"/>
    <row r="14" spans="1:11" ht="15.75" customHeight="1" x14ac:dyDescent="0.2">
      <c r="A14" s="5" t="s">
        <v>26</v>
      </c>
      <c r="B14" s="5" t="s">
        <v>8</v>
      </c>
      <c r="C14" s="5" t="s">
        <v>27</v>
      </c>
      <c r="D14" s="5" t="s">
        <v>13</v>
      </c>
      <c r="E14" s="5" t="s">
        <v>28</v>
      </c>
      <c r="F14" s="12" t="s">
        <v>29</v>
      </c>
      <c r="G14" s="12" t="s">
        <v>30</v>
      </c>
      <c r="H14" s="13" t="s">
        <v>31</v>
      </c>
      <c r="I14" s="13" t="s">
        <v>32</v>
      </c>
      <c r="J14" s="13" t="s">
        <v>33</v>
      </c>
    </row>
    <row r="15" spans="1:11" ht="15.75" customHeight="1" x14ac:dyDescent="0.2">
      <c r="A15" s="6" t="s">
        <v>34</v>
      </c>
      <c r="B15" s="6" t="s">
        <v>16</v>
      </c>
      <c r="C15" s="6" t="str">
        <f>172&amp;"."&amp;16&amp;"."&amp;0&amp;"."&amp;(H15+$A$2)</f>
        <v>172.16.0.12</v>
      </c>
      <c r="D15" s="6" t="s">
        <v>35</v>
      </c>
      <c r="E15" s="6" t="str">
        <f t="shared" ref="E15:E17" si="2">$C$2</f>
        <v>2.2.2.0</v>
      </c>
      <c r="F15" s="6"/>
      <c r="G15" s="6" t="s">
        <v>36</v>
      </c>
      <c r="H15" s="2">
        <v>10</v>
      </c>
      <c r="I15" s="2">
        <f t="array" ref="I15">_xlfn.XLOOKUP(1,( 'Site 1 (HUB)'!A:A=A15 )*( 'Site 1 (HUB)'!B:B=B15 ),'Site 1 (HUB)'!I:I)</f>
        <v>0</v>
      </c>
      <c r="J15" s="2"/>
    </row>
    <row r="16" spans="1:11" ht="15.75" customHeight="1" x14ac:dyDescent="0.2">
      <c r="A16" s="6" t="s">
        <v>50</v>
      </c>
      <c r="B16" s="6" t="s">
        <v>18</v>
      </c>
      <c r="C16" s="6" t="str">
        <f>172&amp;"."&amp;16&amp;"."&amp;0&amp;"."&amp;(H16+$A$2)</f>
        <v>172.16.0.22</v>
      </c>
      <c r="D16" s="6" t="s">
        <v>35</v>
      </c>
      <c r="E16" s="6" t="str">
        <f t="shared" si="2"/>
        <v>2.2.2.0</v>
      </c>
      <c r="F16" s="6"/>
      <c r="G16" s="6" t="s">
        <v>36</v>
      </c>
      <c r="H16" s="2">
        <v>20</v>
      </c>
      <c r="I16" s="2" cm="1">
        <f t="array" ref="I16">_xlfn.XLOOKUP(1,( 'Site 1 (HUB)'!A:A=A16 )*( 'Site 1 (HUB)'!B:B=B16 ),'Site 1 (HUB)'!I:I)</f>
        <v>0</v>
      </c>
      <c r="J16" s="2"/>
    </row>
    <row r="17" spans="1:10" ht="15.75" customHeight="1" x14ac:dyDescent="0.2">
      <c r="A17" s="6" t="s">
        <v>37</v>
      </c>
      <c r="B17" s="6" t="s">
        <v>19</v>
      </c>
      <c r="C17" s="6" t="str">
        <f>172&amp;"."&amp;16&amp;"."&amp;0&amp;"."&amp;(H17+$A$2)</f>
        <v>172.16.0.32</v>
      </c>
      <c r="D17" s="6" t="s">
        <v>35</v>
      </c>
      <c r="E17" s="6" t="str">
        <f t="shared" si="2"/>
        <v>2.2.2.0</v>
      </c>
      <c r="F17" s="6"/>
      <c r="G17" s="6" t="s">
        <v>36</v>
      </c>
      <c r="H17" s="2">
        <v>30</v>
      </c>
      <c r="I17" s="2" t="b">
        <f t="array" ref="I17">_xlfn.XLOOKUP(1,( 'Site 1 (HUB)'!A:A=A17 )*( 'Site 1 (HUB)'!B:B=B17 ),'Site 1 (HUB)'!I:I)</f>
        <v>1</v>
      </c>
      <c r="J17" s="2"/>
    </row>
    <row r="18" spans="1:10" ht="15.75" customHeight="1" x14ac:dyDescent="0.2"/>
    <row r="19" spans="1:10" ht="15.75" customHeight="1" x14ac:dyDescent="0.2">
      <c r="A19" s="10" t="s">
        <v>0</v>
      </c>
      <c r="B19" s="10" t="s">
        <v>3</v>
      </c>
      <c r="C19" s="10" t="s">
        <v>4</v>
      </c>
      <c r="D19" s="10" t="s">
        <v>5</v>
      </c>
      <c r="E19" s="10" t="s">
        <v>48</v>
      </c>
    </row>
    <row r="20" spans="1:10" ht="15.75" customHeight="1" x14ac:dyDescent="0.2">
      <c r="A20" s="11">
        <f>A2</f>
        <v>2</v>
      </c>
      <c r="B20" s="11" t="s">
        <v>6</v>
      </c>
      <c r="C20" s="11" t="s">
        <v>49</v>
      </c>
      <c r="D20" s="11" t="s">
        <v>7</v>
      </c>
      <c r="E20" s="11" t="s">
        <v>49</v>
      </c>
    </row>
    <row r="21" spans="1:10" ht="16.5" customHeight="1" x14ac:dyDescent="0.2"/>
    <row r="22" spans="1:10" ht="15.75" customHeight="1" x14ac:dyDescent="0.2">
      <c r="A22" s="5" t="s">
        <v>40</v>
      </c>
      <c r="B22" s="5" t="s">
        <v>41</v>
      </c>
      <c r="C22" s="5" t="s">
        <v>42</v>
      </c>
      <c r="D22" s="5" t="s">
        <v>12</v>
      </c>
      <c r="E22" s="5" t="s">
        <v>13</v>
      </c>
      <c r="F22" s="5" t="s">
        <v>44</v>
      </c>
      <c r="G22" s="17" t="s">
        <v>54</v>
      </c>
      <c r="H22" s="5" t="s">
        <v>43</v>
      </c>
      <c r="I22" s="10" t="s">
        <v>1</v>
      </c>
      <c r="J22" s="10" t="s">
        <v>46</v>
      </c>
    </row>
    <row r="23" spans="1:10" ht="15.75" customHeight="1" x14ac:dyDescent="0.2">
      <c r="A23" s="6">
        <f>(ROW())-(ROW()-1)</f>
        <v>1</v>
      </c>
      <c r="B23" s="6">
        <v>10</v>
      </c>
      <c r="C23" s="6" t="str">
        <f>LEFT($G$5,LEN($G$5)-1)&amp;(RIGHT($G$5,1)+A23)</f>
        <v>10.12.0.2</v>
      </c>
      <c r="D23" s="6" t="str">
        <f>$E$5</f>
        <v>10.12.0.1</v>
      </c>
      <c r="E23" s="6" t="str">
        <f>$F$5</f>
        <v>255.255.0.0</v>
      </c>
      <c r="F23" s="6">
        <v>4</v>
      </c>
      <c r="G23" s="16">
        <v>1</v>
      </c>
      <c r="H23" s="6">
        <v>20.100000000000001</v>
      </c>
      <c r="I23" s="11" t="s">
        <v>45</v>
      </c>
      <c r="J23" s="11">
        <f>$F23-$G23-2</f>
        <v>1</v>
      </c>
    </row>
    <row r="24" spans="1:10" ht="15.75" customHeight="1" x14ac:dyDescent="0.2">
      <c r="A24" s="16">
        <v>2</v>
      </c>
      <c r="B24" s="16">
        <v>10</v>
      </c>
      <c r="C24" s="18" t="str">
        <f>LEFT($G$5,LEN($G$5)-1)&amp;(RIGHT($G$5,1)+A24)</f>
        <v>10.12.0.3</v>
      </c>
      <c r="D24" s="18" t="str">
        <f>$E$5</f>
        <v>10.12.0.1</v>
      </c>
      <c r="E24" s="16" t="str">
        <f>$F$5</f>
        <v>255.255.0.0</v>
      </c>
      <c r="F24" s="6">
        <v>4</v>
      </c>
      <c r="G24" s="16">
        <v>2</v>
      </c>
      <c r="H24" s="6" t="s">
        <v>55</v>
      </c>
      <c r="I24" s="19" t="s">
        <v>45</v>
      </c>
      <c r="J24" s="20">
        <f>$F24-$G24-2</f>
        <v>0</v>
      </c>
    </row>
    <row r="25" spans="1:10" ht="15.75" customHeight="1" x14ac:dyDescent="0.2"/>
    <row r="26" spans="1:10" ht="15.75" customHeight="1" x14ac:dyDescent="0.2"/>
    <row r="27" spans="1:10" ht="15.75" customHeight="1" x14ac:dyDescent="0.2"/>
    <row r="28" spans="1:10" ht="15.75" customHeight="1" x14ac:dyDescent="0.2"/>
    <row r="29" spans="1:10" ht="15.75" customHeight="1" x14ac:dyDescent="0.2"/>
    <row r="30" spans="1:10" ht="15.75" customHeight="1" x14ac:dyDescent="0.2"/>
    <row r="31" spans="1:10" ht="15.75" customHeight="1" x14ac:dyDescent="0.2"/>
    <row r="32" spans="1:10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</sheetData>
  <phoneticPr fontId="6" type="noConversion"/>
  <dataValidations count="1">
    <dataValidation type="custom" allowBlank="1" showInputMessage="1" showErrorMessage="1" sqref="H23:H24" xr:uid="{755C67B3-35A1-41CF-AFAD-859DFFCA6014}">
      <formula1>IF(H23="",TRUE,SUM(--_xlfn.TEXTAFTER(_xlfn.TEXTSPLIT(H23,"-"),"."))&lt;=J23)</formula1>
    </dataValidation>
  </dataValidations>
  <pageMargins left="0.7" right="0.7" top="0.75" bottom="0.75" header="0" footer="0"/>
  <pageSetup orientation="landscape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EE59D-AC84-4379-84CD-451968B2DD54}">
  <dimension ref="A1:K24"/>
  <sheetViews>
    <sheetView workbookViewId="0">
      <selection activeCell="E10" sqref="E10"/>
    </sheetView>
  </sheetViews>
  <sheetFormatPr defaultRowHeight="12.75" x14ac:dyDescent="0.2"/>
  <cols>
    <col min="1" max="1" width="49" customWidth="1"/>
    <col min="2" max="2" width="34" customWidth="1"/>
    <col min="3" max="3" width="29.85546875" customWidth="1"/>
    <col min="4" max="4" width="20.140625" customWidth="1"/>
    <col min="5" max="5" width="61" customWidth="1"/>
    <col min="8" max="8" width="61.28515625" customWidth="1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48</v>
      </c>
      <c r="H1" s="1" t="s">
        <v>53</v>
      </c>
    </row>
    <row r="2" spans="1:11" x14ac:dyDescent="0.2">
      <c r="A2" s="2">
        <v>3</v>
      </c>
      <c r="B2" s="2" t="s">
        <v>45</v>
      </c>
      <c r="C2" s="2" t="str">
        <f>A2&amp;"."&amp;A2&amp;"."&amp;A2&amp;".0"</f>
        <v>3.3.3.0</v>
      </c>
      <c r="D2" s="2" t="s">
        <v>6</v>
      </c>
      <c r="E2" s="2" t="s">
        <v>49</v>
      </c>
      <c r="F2" s="2" t="s">
        <v>7</v>
      </c>
      <c r="G2" s="2" t="s">
        <v>49</v>
      </c>
      <c r="H2" s="2" t="str">
        <f>'Site 1 (HUB)'!H2</f>
        <v>TACACS-KEY</v>
      </c>
    </row>
    <row r="3" spans="1:11" ht="15" x14ac:dyDescent="0.25">
      <c r="A3" s="3"/>
      <c r="B3" s="4"/>
      <c r="C3" s="3"/>
      <c r="D3" s="3"/>
      <c r="E3" s="3"/>
      <c r="F3" s="3"/>
      <c r="G3" s="3"/>
      <c r="H3" s="3"/>
    </row>
    <row r="4" spans="1:11" ht="30" x14ac:dyDescent="0.2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12" t="s">
        <v>14</v>
      </c>
      <c r="H4" s="12" t="s">
        <v>15</v>
      </c>
      <c r="I4" s="12" t="s">
        <v>38</v>
      </c>
      <c r="J4" s="14" t="s">
        <v>47</v>
      </c>
      <c r="K4" s="14" t="s">
        <v>39</v>
      </c>
    </row>
    <row r="5" spans="1:11" ht="28.5" x14ac:dyDescent="0.2">
      <c r="A5" s="6" t="s">
        <v>16</v>
      </c>
      <c r="B5" s="7">
        <v>10</v>
      </c>
      <c r="C5" s="6">
        <v>0</v>
      </c>
      <c r="D5" s="6" t="str">
        <f>10&amp;"."&amp;(B5+A2)&amp;"."&amp;0&amp;"."&amp;0</f>
        <v>10.13.0.0</v>
      </c>
      <c r="E5" s="6" t="str">
        <f t="shared" ref="E5:E7" si="0">LEFT(D5,LEN(D5)-1)&amp;"1"</f>
        <v>10.13.0.1</v>
      </c>
      <c r="F5" s="6" t="s">
        <v>17</v>
      </c>
      <c r="G5" s="6" t="str">
        <f t="shared" ref="G5:G7" si="1">LEFT(D5,LEN(D5)-1)&amp;"1"</f>
        <v>10.13.0.1</v>
      </c>
      <c r="H5" s="6" t="str">
        <f ca="1">IFERROR(__xludf.DUMMYFUNCTION("REGEXREPLACE(D5,""\.[0-9]+\.[0-9]+$"","".255.254"")"),"10.12.255.254")</f>
        <v>10.12.255.254</v>
      </c>
      <c r="I5" s="6">
        <v>10</v>
      </c>
      <c r="J5" s="15">
        <v>21</v>
      </c>
      <c r="K5" s="15">
        <v>5</v>
      </c>
    </row>
    <row r="6" spans="1:11" ht="28.5" x14ac:dyDescent="0.2">
      <c r="A6" s="6" t="s">
        <v>18</v>
      </c>
      <c r="B6" s="7">
        <v>20</v>
      </c>
      <c r="C6" s="6">
        <v>0</v>
      </c>
      <c r="D6" s="6" t="str">
        <f>10&amp;"."&amp;(B6+A2)&amp;"."&amp;0&amp;"."&amp;0</f>
        <v>10.23.0.0</v>
      </c>
      <c r="E6" s="6" t="str">
        <f t="shared" si="0"/>
        <v>10.23.0.1</v>
      </c>
      <c r="F6" s="6" t="s">
        <v>17</v>
      </c>
      <c r="G6" s="6" t="str">
        <f t="shared" si="1"/>
        <v>10.23.0.1</v>
      </c>
      <c r="H6" s="6" t="str">
        <f ca="1">IFERROR(__xludf.DUMMYFUNCTION("REGEXREPLACE(D6,""\.[0-9]+\.[0-9]+$"","".255.254"")"),"10.22.255.254")</f>
        <v>10.22.255.254</v>
      </c>
      <c r="I6" s="6">
        <v>10</v>
      </c>
      <c r="J6" s="15">
        <v>11</v>
      </c>
      <c r="K6" s="15">
        <v>2</v>
      </c>
    </row>
    <row r="7" spans="1:11" ht="28.5" x14ac:dyDescent="0.2">
      <c r="A7" s="6" t="s">
        <v>19</v>
      </c>
      <c r="B7" s="7">
        <v>30</v>
      </c>
      <c r="C7" s="6">
        <v>0</v>
      </c>
      <c r="D7" s="6" t="str">
        <f>10&amp;"."&amp;(B7+A2)&amp;"."&amp;0&amp;"."&amp;0</f>
        <v>10.33.0.0</v>
      </c>
      <c r="E7" s="6" t="str">
        <f t="shared" si="0"/>
        <v>10.33.0.1</v>
      </c>
      <c r="F7" s="6" t="s">
        <v>17</v>
      </c>
      <c r="G7" s="6" t="str">
        <f t="shared" si="1"/>
        <v>10.33.0.1</v>
      </c>
      <c r="H7" s="6" t="str">
        <f ca="1">IFERROR(__xludf.DUMMYFUNCTION("REGEXREPLACE(D7,""\.[0-9]+\.[0-9]+$"","".255.254"")"),"10.32.255.254")</f>
        <v>10.32.255.254</v>
      </c>
      <c r="I7" s="6">
        <v>10</v>
      </c>
      <c r="J7">
        <v>41</v>
      </c>
      <c r="K7">
        <v>10</v>
      </c>
    </row>
    <row r="8" spans="1:11" x14ac:dyDescent="0.2">
      <c r="A8" s="8"/>
      <c r="B8" s="8"/>
    </row>
    <row r="9" spans="1:11" ht="30" x14ac:dyDescent="0.2">
      <c r="A9" s="5" t="s">
        <v>8</v>
      </c>
      <c r="B9" s="5" t="s">
        <v>20</v>
      </c>
      <c r="C9" s="5" t="s">
        <v>21</v>
      </c>
      <c r="D9" s="5" t="s">
        <v>22</v>
      </c>
    </row>
    <row r="10" spans="1:11" ht="14.25" x14ac:dyDescent="0.2">
      <c r="A10" s="6" t="s">
        <v>16</v>
      </c>
      <c r="B10" s="7" t="s">
        <v>23</v>
      </c>
      <c r="C10" s="6">
        <v>10</v>
      </c>
      <c r="D10" s="6" t="str">
        <f>A2&amp;"."&amp;A2&amp;"."&amp;A2&amp;"."&amp;(C10)</f>
        <v>3.3.3.10</v>
      </c>
    </row>
    <row r="11" spans="1:11" ht="14.25" x14ac:dyDescent="0.2">
      <c r="A11" s="6" t="s">
        <v>18</v>
      </c>
      <c r="B11" s="7" t="s">
        <v>24</v>
      </c>
      <c r="C11" s="6">
        <v>20</v>
      </c>
      <c r="D11" s="6" t="str">
        <f>A2&amp;"."&amp;A2&amp;"."&amp;A2&amp;"."&amp;(C11)</f>
        <v>3.3.3.20</v>
      </c>
    </row>
    <row r="12" spans="1:11" ht="14.25" x14ac:dyDescent="0.2">
      <c r="A12" s="6" t="s">
        <v>19</v>
      </c>
      <c r="B12" s="7" t="s">
        <v>25</v>
      </c>
      <c r="C12" s="6">
        <v>30</v>
      </c>
      <c r="D12" s="6" t="str">
        <f>A2&amp;"."&amp;A2&amp;"."&amp;A2&amp;"."&amp;(C12)</f>
        <v>3.3.3.30</v>
      </c>
    </row>
    <row r="14" spans="1:11" ht="30" x14ac:dyDescent="0.2">
      <c r="A14" s="5" t="s">
        <v>26</v>
      </c>
      <c r="B14" s="5" t="s">
        <v>8</v>
      </c>
      <c r="C14" s="5" t="s">
        <v>27</v>
      </c>
      <c r="D14" s="5" t="s">
        <v>13</v>
      </c>
      <c r="E14" s="5" t="s">
        <v>28</v>
      </c>
      <c r="F14" s="12" t="s">
        <v>29</v>
      </c>
      <c r="G14" s="12" t="s">
        <v>30</v>
      </c>
      <c r="H14" s="13" t="s">
        <v>31</v>
      </c>
      <c r="I14" s="13" t="s">
        <v>32</v>
      </c>
      <c r="J14" s="13" t="s">
        <v>33</v>
      </c>
    </row>
    <row r="15" spans="1:11" ht="28.5" x14ac:dyDescent="0.2">
      <c r="A15" s="6" t="s">
        <v>34</v>
      </c>
      <c r="B15" s="6" t="s">
        <v>16</v>
      </c>
      <c r="C15" s="6" t="str">
        <f>172&amp;"."&amp;16&amp;"."&amp;0&amp;"."&amp;(H15+$A$2)</f>
        <v>172.16.0.13</v>
      </c>
      <c r="D15" s="6" t="s">
        <v>35</v>
      </c>
      <c r="E15" s="6" t="str">
        <f t="shared" ref="E15:E17" si="2">$C$2</f>
        <v>3.3.3.0</v>
      </c>
      <c r="F15" s="6"/>
      <c r="G15" s="6" t="s">
        <v>36</v>
      </c>
      <c r="H15" s="2">
        <v>10</v>
      </c>
      <c r="I15" s="2">
        <f t="array" ref="I15">_xlfn.XLOOKUP(1,( 'Site 1 (HUB)'!A:A=A15 )*( 'Site 1 (HUB)'!B:B=B15 ),'Site 1 (HUB)'!I:I)</f>
        <v>0</v>
      </c>
      <c r="J15" s="2"/>
    </row>
    <row r="16" spans="1:11" ht="28.5" x14ac:dyDescent="0.2">
      <c r="A16" s="6" t="s">
        <v>50</v>
      </c>
      <c r="B16" s="6" t="s">
        <v>18</v>
      </c>
      <c r="C16" s="6" t="str">
        <f>172&amp;"."&amp;16&amp;"."&amp;0&amp;"."&amp;(H16+$A$2)</f>
        <v>172.16.0.23</v>
      </c>
      <c r="D16" s="6" t="s">
        <v>35</v>
      </c>
      <c r="E16" s="6" t="str">
        <f t="shared" si="2"/>
        <v>3.3.3.0</v>
      </c>
      <c r="F16" s="6"/>
      <c r="G16" s="6" t="s">
        <v>36</v>
      </c>
      <c r="H16" s="2">
        <v>20</v>
      </c>
      <c r="I16" s="2" cm="1">
        <f t="array" ref="I16">_xlfn.XLOOKUP(1,( 'Site 1 (HUB)'!A:A=A16 )*( 'Site 1 (HUB)'!B:B=B16 ),'Site 1 (HUB)'!I:I)</f>
        <v>0</v>
      </c>
      <c r="J16" s="2"/>
    </row>
    <row r="17" spans="1:10" ht="28.5" x14ac:dyDescent="0.2">
      <c r="A17" s="6" t="s">
        <v>37</v>
      </c>
      <c r="B17" s="6" t="s">
        <v>19</v>
      </c>
      <c r="C17" s="6" t="str">
        <f>172&amp;"."&amp;16&amp;"."&amp;0&amp;"."&amp;(H17+$A$2)</f>
        <v>172.16.0.33</v>
      </c>
      <c r="D17" s="6" t="s">
        <v>35</v>
      </c>
      <c r="E17" s="6" t="str">
        <f t="shared" si="2"/>
        <v>3.3.3.0</v>
      </c>
      <c r="F17" s="6"/>
      <c r="G17" s="6" t="s">
        <v>36</v>
      </c>
      <c r="H17" s="2">
        <v>30</v>
      </c>
      <c r="I17" s="2" t="b">
        <f t="array" ref="I17">_xlfn.XLOOKUP(1,( 'Site 1 (HUB)'!A:A=A17 )*( 'Site 1 (HUB)'!B:B=B17 ),'Site 1 (HUB)'!I:I)</f>
        <v>1</v>
      </c>
      <c r="J17" s="2"/>
    </row>
    <row r="19" spans="1:10" ht="25.5" x14ac:dyDescent="0.2">
      <c r="A19" s="10" t="s">
        <v>0</v>
      </c>
      <c r="B19" s="10" t="s">
        <v>3</v>
      </c>
      <c r="C19" s="10" t="s">
        <v>4</v>
      </c>
      <c r="D19" s="10" t="s">
        <v>5</v>
      </c>
      <c r="E19" s="10" t="s">
        <v>48</v>
      </c>
    </row>
    <row r="20" spans="1:10" ht="114.75" x14ac:dyDescent="0.2">
      <c r="A20" s="11">
        <f>A2</f>
        <v>3</v>
      </c>
      <c r="B20" s="11" t="s">
        <v>6</v>
      </c>
      <c r="C20" s="11" t="s">
        <v>49</v>
      </c>
      <c r="D20" s="11" t="s">
        <v>7</v>
      </c>
      <c r="E20" s="11" t="s">
        <v>49</v>
      </c>
    </row>
    <row r="22" spans="1:10" ht="30" x14ac:dyDescent="0.2">
      <c r="A22" s="5" t="s">
        <v>40</v>
      </c>
      <c r="B22" s="5" t="s">
        <v>41</v>
      </c>
      <c r="C22" s="5" t="s">
        <v>42</v>
      </c>
      <c r="D22" s="5" t="s">
        <v>12</v>
      </c>
      <c r="E22" s="5" t="s">
        <v>13</v>
      </c>
      <c r="F22" s="5" t="s">
        <v>44</v>
      </c>
      <c r="G22" s="17" t="s">
        <v>54</v>
      </c>
      <c r="H22" s="5" t="s">
        <v>43</v>
      </c>
      <c r="I22" s="10" t="s">
        <v>1</v>
      </c>
      <c r="J22" s="10" t="s">
        <v>46</v>
      </c>
    </row>
    <row r="23" spans="1:10" ht="14.25" x14ac:dyDescent="0.2">
      <c r="A23" s="6">
        <f>(ROW())-(ROW()-1)</f>
        <v>1</v>
      </c>
      <c r="B23" s="6">
        <v>10</v>
      </c>
      <c r="C23" s="6" t="str">
        <f>LEFT($G$5,LEN($G$5)-1)&amp;(RIGHT($G$5,1)+A23)</f>
        <v>10.13.0.2</v>
      </c>
      <c r="D23" s="6" t="str">
        <f>$E$5</f>
        <v>10.13.0.1</v>
      </c>
      <c r="E23" s="6" t="str">
        <f>$F$5</f>
        <v>255.255.0.0</v>
      </c>
      <c r="F23" s="6">
        <v>4</v>
      </c>
      <c r="G23" s="16">
        <v>1</v>
      </c>
      <c r="H23" s="6">
        <v>20.100000000000001</v>
      </c>
      <c r="I23" s="11" t="s">
        <v>45</v>
      </c>
      <c r="J23" s="11">
        <f>$F23-$G23-2</f>
        <v>1</v>
      </c>
    </row>
    <row r="24" spans="1:10" ht="28.5" x14ac:dyDescent="0.2">
      <c r="A24" s="16">
        <v>2</v>
      </c>
      <c r="B24" s="16">
        <v>10</v>
      </c>
      <c r="C24" s="18" t="str">
        <f>LEFT($G$5,LEN($G$5)-1)&amp;(RIGHT($G$5,1)+A24)</f>
        <v>10.13.0.3</v>
      </c>
      <c r="D24" s="18" t="str">
        <f>$E$5</f>
        <v>10.13.0.1</v>
      </c>
      <c r="E24" s="16" t="str">
        <f>$F$5</f>
        <v>255.255.0.0</v>
      </c>
      <c r="F24" s="6">
        <v>4</v>
      </c>
      <c r="G24" s="16">
        <v>2</v>
      </c>
      <c r="H24" s="6" t="s">
        <v>55</v>
      </c>
      <c r="I24" s="19" t="s">
        <v>45</v>
      </c>
      <c r="J24" s="20">
        <f>$F24-$G24-2</f>
        <v>0</v>
      </c>
    </row>
  </sheetData>
  <dataValidations count="1">
    <dataValidation type="custom" allowBlank="1" showInputMessage="1" showErrorMessage="1" sqref="H23:H24" xr:uid="{2E979BD6-3A84-4B2E-9CEE-8F2B982BF6E0}">
      <formula1>IF(H23="",TRUE,SUM(--_xlfn.TEXTAFTER(_xlfn.TEXTSPLIT(H23,"-"),"."))&lt;=J23)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Site 1 (HUB)</vt:lpstr>
      <vt:lpstr>Site 2</vt:lpstr>
      <vt:lpstr>Site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2026-09-06T19:38:52Z</dcterms:modified>
</cp:coreProperties>
</file>