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7064EFCA-9174-40A1-9F4D-B3CB64863B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4" l="1"/>
  <c r="E26" i="4"/>
  <c r="A26" i="4"/>
  <c r="A23" i="4"/>
  <c r="C20" i="4"/>
  <c r="I19" i="4" a="1"/>
  <c r="I19" i="4" s="1"/>
  <c r="E19" i="4"/>
  <c r="C19" i="4"/>
  <c r="I18" i="4" a="1"/>
  <c r="E18" i="4"/>
  <c r="C18" i="4"/>
  <c r="I17" i="4" a="1"/>
  <c r="I17" i="4" s="1"/>
  <c r="C17" i="4"/>
  <c r="C14" i="4"/>
  <c r="C13" i="4"/>
  <c r="C12" i="4"/>
  <c r="C11" i="4"/>
  <c r="H8" i="4"/>
  <c r="D8" i="4"/>
  <c r="H7" i="4"/>
  <c r="D7" i="4"/>
  <c r="H6" i="4"/>
  <c r="D6" i="4"/>
  <c r="H5" i="4"/>
  <c r="D5" i="4"/>
  <c r="H2" i="4"/>
  <c r="C2" i="4"/>
  <c r="E20" i="2"/>
  <c r="C20" i="2"/>
  <c r="C14" i="2"/>
  <c r="H8" i="2"/>
  <c r="D8" i="2"/>
  <c r="D5" i="2"/>
  <c r="E5" i="2"/>
  <c r="G5" i="2"/>
  <c r="H5" i="2"/>
  <c r="D6" i="2"/>
  <c r="E6" i="2"/>
  <c r="G6" i="2"/>
  <c r="H6" i="2"/>
  <c r="D7" i="2"/>
  <c r="E7" i="2"/>
  <c r="G7" i="2"/>
  <c r="H7" i="2"/>
  <c r="C20" i="1"/>
  <c r="C12" i="1"/>
  <c r="C13" i="1"/>
  <c r="C14" i="1"/>
  <c r="C11" i="1"/>
  <c r="D8" i="1"/>
  <c r="H8" i="1"/>
  <c r="J26" i="1"/>
  <c r="E26" i="1"/>
  <c r="A26" i="1"/>
  <c r="J26" i="2"/>
  <c r="H2" i="2"/>
  <c r="A26" i="2"/>
  <c r="I18" i="2" a="1"/>
  <c r="I19" i="2" a="1"/>
  <c r="I19" i="2" s="1"/>
  <c r="C19" i="2"/>
  <c r="C18" i="2"/>
  <c r="C17" i="2"/>
  <c r="C18" i="1"/>
  <c r="C19" i="1"/>
  <c r="C17" i="1"/>
  <c r="E26" i="2"/>
  <c r="A23" i="2"/>
  <c r="A23" i="1"/>
  <c r="I17" i="2" a="1"/>
  <c r="I17" i="2" s="1"/>
  <c r="C13" i="2"/>
  <c r="C12" i="2"/>
  <c r="C11" i="2"/>
  <c r="C2" i="2"/>
  <c r="H7" i="1"/>
  <c r="D7" i="1"/>
  <c r="E7" i="1" s="1"/>
  <c r="H6" i="1"/>
  <c r="D6" i="1"/>
  <c r="E6" i="1" s="1"/>
  <c r="H5" i="1"/>
  <c r="D5" i="1"/>
  <c r="G5" i="1" s="1"/>
  <c r="C2" i="1"/>
  <c r="E20" i="4" l="1"/>
  <c r="E17" i="4"/>
  <c r="G8" i="4"/>
  <c r="E8" i="4"/>
  <c r="G7" i="4"/>
  <c r="E7" i="4"/>
  <c r="G6" i="4"/>
  <c r="E6" i="4"/>
  <c r="G5" i="4"/>
  <c r="C26" i="4" s="1"/>
  <c r="E5" i="4"/>
  <c r="D26" i="4" s="1"/>
  <c r="E19" i="2"/>
  <c r="E18" i="1"/>
  <c r="E20" i="1"/>
  <c r="G8" i="2"/>
  <c r="E8" i="2"/>
  <c r="G8" i="1"/>
  <c r="E8" i="1"/>
  <c r="C26" i="1"/>
  <c r="E18" i="2"/>
  <c r="E17" i="2"/>
  <c r="E19" i="1"/>
  <c r="E17" i="1"/>
  <c r="E5" i="1"/>
  <c r="D26" i="1" s="1"/>
  <c r="G6" i="1"/>
  <c r="G7" i="1"/>
  <c r="C26" i="2" l="1"/>
  <c r="D2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<sst xmlns="http://schemas.openxmlformats.org/spreadsheetml/2006/main" count="261" uniqueCount="58">
  <si>
    <t>site</t>
  </si>
  <si>
    <t>intf_prefix</t>
  </si>
  <si>
    <t>router-id</t>
  </si>
  <si>
    <t>brukernavn</t>
  </si>
  <si>
    <t>passord</t>
  </si>
  <si>
    <t>vty_lines</t>
  </si>
  <si>
    <t>admin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</si>
  <si>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</si>
  <si>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</si>
  <si>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</si>
  <si>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</si>
  <si>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</si>
  <si>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</si>
  <si>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</si>
  <si>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</si>
  <si>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</si>
  <si>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</si>
  <si>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</si>
  <si>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</si>
  <si>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</si>
  <si>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</si>
  <si>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</si>
  <si>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</si>
  <si>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</si>
  <si>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</si>
  <si>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</si>
  <si>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</si>
  <si>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</si>
  <si>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</si>
  <si>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</si>
  <si>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</si>
  <si>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</si>
  <si>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</si>
  <si>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</si>
  <si>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</si>
  <si>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</si>
  <si>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</si>
  <si>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</si>
  <si>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</si>
  <si>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</si>
  <si>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</si>
  <si>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</si>
  <si>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</si>
  <si>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secret</t>
  </si>
  <si>
    <t>$9$0nNdTjfcaOQFlP$4VgON16XmZXlfGr4BcOzEN7OoRxfPIAcXDQ0afwx67k</t>
  </si>
  <si>
    <t>tunnel 20</t>
  </si>
  <si>
    <t>ISP-VLAN</t>
  </si>
  <si>
    <t>TACACS-KEY</t>
  </si>
  <si>
    <t>tacacs_key</t>
  </si>
  <si>
    <t>num_downlink</t>
  </si>
  <si>
    <t>DHCP</t>
  </si>
  <si>
    <t>PA</t>
  </si>
  <si>
    <t>tunnel 40</t>
  </si>
  <si>
    <t>10.1-200.1-20.5-30.5-40.2</t>
  </si>
  <si>
    <t>30.10-20.10-40.2</t>
  </si>
  <si>
    <t>0 - 15</t>
  </si>
  <si>
    <t>g1/0/</t>
  </si>
  <si>
    <t>f0/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</si>
</sst>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0" fillId="0" borderId="0" xfId="0" applyAlignment="1"/>
    <xf numFmtId="0" fontId="2" fillId="0" borderId="0" xfId="0" applyFont="1" applyAlignment="1">
      <alignment horizontal="left"/>
    </xf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10" fillId="0" borderId="0" xfId="0" applyFont="1" applyAlignment="1"/>
    <xf numFmtId="0" fontId="4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294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0" formatCode="General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0" formatCode="General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0" formatCode="General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293"/>
      <tableStyleElement type="headerRow" dxfId="292"/>
      <tableStyleElement type="firstRowStripe" dxfId="291"/>
      <tableStyleElement type="secondRowStripe" dxfId="290"/>
    </tableStyle>
    <tableStyle name="Site 3-style" pivot="0" count="4" xr9:uid="{00000000-0011-0000-FFFF-FFFF01000000}">
      <tableStyleElement type="wholeTable" size="0" dxfId="289"/>
      <tableStyleElement type="headerRow" dxfId="288"/>
      <tableStyleElement type="firstRowStripe" dxfId="287"/>
      <tableStyleElement type="secondRowStripe" dxfId="286"/>
    </tableStyle>
    <tableStyle name="Site 2-style" pivot="0" count="4" xr9:uid="{00000000-0011-0000-FFFF-FFFF02000000}">
      <tableStyleElement type="wholeTable" size="0" dxfId="285"/>
      <tableStyleElement type="headerRow" dxfId="284"/>
      <tableStyleElement type="firstRowStripe" dxfId="283"/>
      <tableStyleElement type="secondRowStripe" dxfId="282"/>
    </tableStyle>
    <tableStyle name="Site 4-style" pivot="0" count="4" xr9:uid="{00000000-0011-0000-FFFF-FFFF03000000}">
      <tableStyleElement type="wholeTable" size="0" dxfId="281"/>
      <tableStyleElement type="headerRow" dxfId="280"/>
      <tableStyleElement type="firstRowStripe" dxfId="279"/>
      <tableStyleElement type="secondRowStripe" dxfId="278"/>
    </tableStyle>
    <tableStyle name="Site 3-style 2" pivot="0" count="4" xr9:uid="{00000000-0011-0000-FFFF-FFFF04000000}">
      <tableStyleElement type="wholeTable" size="0" dxfId="277"/>
      <tableStyleElement type="headerRow" dxfId="276"/>
      <tableStyleElement type="firstRowStripe" dxfId="275"/>
      <tableStyleElement type="secondRowStripe" dxfId="274"/>
    </tableStyle>
    <tableStyle name="Site 1 (HUB)-style 2" pivot="0" count="4" xr9:uid="{00000000-0011-0000-FFFF-FFFF05000000}">
      <tableStyleElement type="wholeTable" size="0" dxfId="273"/>
      <tableStyleElement type="headerRow" dxfId="272"/>
      <tableStyleElement type="firstRowStripe" dxfId="271"/>
      <tableStyleElement type="secondRowStripe" dxfId="270"/>
    </tableStyle>
    <tableStyle name="Site 2-style 2" pivot="0" count="4" xr9:uid="{00000000-0011-0000-FFFF-FFFF06000000}">
      <tableStyleElement type="wholeTable" size="0" dxfId="269"/>
      <tableStyleElement type="headerRow" dxfId="268"/>
      <tableStyleElement type="firstRowStripe" dxfId="267"/>
      <tableStyleElement type="secondRowStripe" dxfId="266"/>
    </tableStyle>
    <tableStyle name="Site 3-style 3" pivot="0" count="4" xr9:uid="{00000000-0011-0000-FFFF-FFFF07000000}">
      <tableStyleElement type="wholeTable" size="0" dxfId="265"/>
      <tableStyleElement type="headerRow" dxfId="264"/>
      <tableStyleElement type="firstRowStripe" dxfId="263"/>
      <tableStyleElement type="secondRowStripe" dxfId="262"/>
    </tableStyle>
    <tableStyle name="Site 1 (HUB)-style 3" pivot="0" count="4" xr9:uid="{00000000-0011-0000-FFFF-FFFF08000000}">
      <tableStyleElement type="wholeTable" size="0" dxfId="261"/>
      <tableStyleElement type="headerRow" dxfId="260"/>
      <tableStyleElement type="firstRowStripe" dxfId="259"/>
      <tableStyleElement type="secondRowStripe" dxfId="258"/>
    </tableStyle>
    <tableStyle name="Site 4-style 2" pivot="0" count="4" xr9:uid="{00000000-0011-0000-FFFF-FFFF09000000}">
      <tableStyleElement type="wholeTable" size="0" dxfId="257"/>
      <tableStyleElement type="headerRow" dxfId="256"/>
      <tableStyleElement type="firstRowStripe" dxfId="255"/>
      <tableStyleElement type="secondRowStripe" dxfId="254"/>
    </tableStyle>
    <tableStyle name="Site 3-style 4" pivot="0" count="4" xr9:uid="{00000000-0011-0000-FFFF-FFFF0A000000}">
      <tableStyleElement type="wholeTable" size="0" dxfId="253"/>
      <tableStyleElement type="headerRow" dxfId="252"/>
      <tableStyleElement type="firstRowStripe" dxfId="251"/>
      <tableStyleElement type="secondRowStripe" dxfId="250"/>
    </tableStyle>
    <tableStyle name="Site 1 (HUB)-style 4" pivot="0" count="4" xr9:uid="{00000000-0011-0000-FFFF-FFFF0B000000}">
      <tableStyleElement type="wholeTable" size="0" dxfId="249"/>
      <tableStyleElement type="headerRow" dxfId="248"/>
      <tableStyleElement type="firstRowStripe" dxfId="247"/>
      <tableStyleElement type="secondRowStripe" dxfId="246"/>
    </tableStyle>
    <tableStyle name="Site 2-style 3" pivot="0" count="4" xr9:uid="{00000000-0011-0000-FFFF-FFFF0C000000}">
      <tableStyleElement type="wholeTable" size="0" dxfId="245"/>
      <tableStyleElement type="headerRow" dxfId="244"/>
      <tableStyleElement type="firstRowStripe" dxfId="243"/>
      <tableStyleElement type="secondRowStripe" dxfId="242"/>
    </tableStyle>
    <tableStyle name="Site 4-style 3" pivot="0" count="4" xr9:uid="{00000000-0011-0000-FFFF-FFFF0D000000}">
      <tableStyleElement type="wholeTable" size="0" dxfId="241"/>
      <tableStyleElement type="headerRow" dxfId="240"/>
      <tableStyleElement type="firstRowStripe" dxfId="239"/>
      <tableStyleElement type="secondRowStripe" dxfId="238"/>
    </tableStyle>
    <tableStyle name="Site 2-style 4" pivot="0" count="4" xr9:uid="{00000000-0011-0000-FFFF-FFFF0E000000}">
      <tableStyleElement type="wholeTable" size="0" dxfId="237"/>
      <tableStyleElement type="headerRow" dxfId="236"/>
      <tableStyleElement type="firstRowStripe" dxfId="235"/>
      <tableStyleElement type="secondRowStripe" dxfId="234"/>
    </tableStyle>
    <tableStyle name="Site 4-style 4" pivot="0" count="4" xr9:uid="{00000000-0011-0000-FFFF-FFFF0F000000}">
      <tableStyleElement type="wholeTable" size="0" dxfId="233"/>
      <tableStyleElement type="headerRow" dxfId="232"/>
      <tableStyleElement type="firstRowStripe" dxfId="231"/>
      <tableStyleElement type="secondRowStripe" dxfId="2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I2" headerRowDxfId="120" dataDxfId="118" totalsRowDxfId="119">
  <tableColumns count="9">
    <tableColumn id="1" xr3:uid="{00000000-0010-0000-0000-000001000000}" name="site" dataDxfId="129"/>
    <tableColumn id="2" xr3:uid="{00000000-0010-0000-0000-000002000000}" name="intf_prefix" dataDxfId="128"/>
    <tableColumn id="3" xr3:uid="{00000000-0010-0000-0000-000003000000}" name="router-id" dataDxfId="127"/>
    <tableColumn id="4" xr3:uid="{00000000-0010-0000-0000-000004000000}" name="brukernavn" dataDxfId="126"/>
    <tableColumn id="5" xr3:uid="{00000000-0010-0000-0000-000005000000}" name="passord" dataDxfId="125"/>
    <tableColumn id="6" xr3:uid="{00000000-0010-0000-0000-000006000000}" name="vty_lines" dataDxfId="124"/>
    <tableColumn id="7" xr3:uid="{754ADF79-920D-4601-911B-DB20F4E9EEB9}" name="secret" dataDxfId="123"/>
    <tableColumn id="8" xr3:uid="{D293CCAB-D8AE-4182-83E6-F65F455FC5F2}" name="tacacs_key" dataDxfId="122"/>
    <tableColumn id="9" xr3:uid="{A1409C6A-F30B-4031-ADB8-676C007D78B3}" name="DHCP" dataDxfId="121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 headerRowDxfId="106" dataDxfId="104" totalsRowDxfId="105">
  <tableColumns count="11">
    <tableColumn id="1" xr3:uid="{00000000-0010-0000-0100-000001000000}" name="vrf" dataDxfId="117"/>
    <tableColumn id="2" xr3:uid="{00000000-0010-0000-0100-000002000000}" name="vlan" dataDxfId="116"/>
    <tableColumn id="3" xr3:uid="{00000000-0010-0000-0100-000003000000}" name="interface" dataDxfId="115"/>
    <tableColumn id="4" xr3:uid="{00000000-0010-0000-0100-000004000000}" name="nett id" dataDxfId="114"/>
    <tableColumn id="5" xr3:uid="{00000000-0010-0000-0100-000005000000}" name="gateway" dataDxfId="113"/>
    <tableColumn id="6" xr3:uid="{00000000-0010-0000-0100-000006000000}" name="mask" dataDxfId="112"/>
    <tableColumn id="7" xr3:uid="{00000000-0010-0000-0100-000007000000}" name="address min" dataDxfId="111"/>
    <tableColumn id="8" xr3:uid="{00000000-0010-0000-0100-000008000000}" name="address max" dataDxfId="110"/>
    <tableColumn id="9" xr3:uid="{CE1C3544-35AB-45BD-B168-A59522955D24}" name="antall-res" dataDxfId="109"/>
    <tableColumn id="10" xr3:uid="{5AE4CD65-C2FF-447E-B037-873FB4F36B65}" name="pri-afxx" dataDxfId="108"/>
    <tableColumn id="11" xr3:uid="{BBB41126-CDAD-40BD-92C3-0A8EEC64127E}" name="pri-1-10" dataDxfId="107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C14" headerRowDxfId="100" dataDxfId="98" totalsRowDxfId="99">
  <tableColumns count="3">
    <tableColumn id="1" xr3:uid="{00000000-0010-0000-0200-000001000000}" name="vrf" dataDxfId="103"/>
    <tableColumn id="3" xr3:uid="{00000000-0010-0000-0200-000003000000}" name="loopback" dataDxfId="102"/>
    <tableColumn id="4" xr3:uid="{00000000-0010-0000-0200-000004000000}" name="laddr" dataDxfId="101">
      <calculatedColumnFormula>$A$2&amp;"."&amp;$A$2&amp;"."&amp;$A$2&amp;"."&amp;(B11)</calculatedColumnFormula>
    </tableColumn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20" headerRowDxfId="87" dataDxfId="85" totalsRowDxfId="86">
  <tableColumns count="10">
    <tableColumn id="1" xr3:uid="{00000000-0010-0000-0300-000001000000}" name="tunnel id" dataDxfId="97"/>
    <tableColumn id="2" xr3:uid="{00000000-0010-0000-0300-000002000000}" name="vrf" dataDxfId="96"/>
    <tableColumn id="3" xr3:uid="{00000000-0010-0000-0300-000003000000}" name="ip address" dataDxfId="95">
      <calculatedColumnFormula>172&amp;"."&amp;16&amp;"."&amp;0&amp;"."&amp;(H17+$A$2)</calculatedColumnFormula>
    </tableColumn>
    <tableColumn id="4" xr3:uid="{00000000-0010-0000-0300-000004000000}" name="mask" dataDxfId="94"/>
    <tableColumn id="5" xr3:uid="{00000000-0010-0000-0300-000005000000}" name="source" dataDxfId="93">
      <calculatedColumnFormula>$C$2</calculatedColumnFormula>
    </tableColumn>
    <tableColumn id="6" xr3:uid="{00000000-0010-0000-0300-000006000000}" name="destination" dataDxfId="92"/>
    <tableColumn id="7" xr3:uid="{00000000-0010-0000-0300-000007000000}" name="gre mode" dataDxfId="91"/>
    <tableColumn id="8" xr3:uid="{00000000-0010-0000-0300-000008000000}" name="network-id" dataDxfId="90"/>
    <tableColumn id="9" xr3:uid="{00000000-0010-0000-0300-000009000000}" name="ipsec" dataDxfId="89"/>
    <tableColumn id="10" xr3:uid="{00000000-0010-0000-0300-00000A000000}" name="ipsec key" dataDxfId="88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22:F23" headerRowDxfId="78" dataDxfId="76" totalsRowDxfId="77">
  <tableColumns count="6">
    <tableColumn id="1" xr3:uid="{2906F324-3A93-4FB9-9A3C-D48E0E017DE1}" name="site" dataDxfId="84">
      <calculatedColumnFormula>A2</calculatedColumnFormula>
    </tableColumn>
    <tableColumn id="2" xr3:uid="{EACB8E41-CE14-43F2-9E46-F1D9E473C840}" name="brukernavn" dataDxfId="83"/>
    <tableColumn id="4" xr3:uid="{BDD570DD-38B1-4E0D-8E69-41BC5527F423}" name="passord" dataDxfId="82"/>
    <tableColumn id="5" xr3:uid="{0C9E5C25-E441-46FF-92BD-E2BEA9C8A2C6}" name="vty_lines" dataDxfId="81"/>
    <tableColumn id="3" xr3:uid="{E15E69AB-85DA-4C56-B495-1EB315268322}" name="secret" dataDxfId="80" totalsRowDxfId="217"/>
    <tableColumn id="6" xr3:uid="{AED40A1C-7FDA-4DCF-A52E-B4FC80E2A31D}" name="ISP-VLAN" dataDxfId="79" totalsRowDxfId="216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4D379E-7844-43E1-9A69-E543D4F66CAE}" name="Tabell1618242825" displayName="Tabell1618242825" ref="A25:J26" totalsRowShown="0" headerRowDxfId="65" dataDxfId="64" totalsRowDxfId="215">
  <tableColumns count="10">
    <tableColumn id="1" xr3:uid="{A639BB91-B12B-4EED-AE86-29FAEE230445}" name="SW" dataDxfId="75" totalsRowDxfId="214">
      <calculatedColumnFormula>(ROW())-(ROW()-1)</calculatedColumnFormula>
    </tableColumn>
    <tableColumn id="2" xr3:uid="{DDEDC243-35DD-454B-A6C1-7C4D32FA2867}" name="MGMT Vlan" dataDxfId="74" totalsRowDxfId="213"/>
    <tableColumn id="3" xr3:uid="{38DD73AF-4967-4DE7-9CD2-7469CCB16A5B}" name="MGMT ip" dataDxfId="73" totalsRowDxfId="212">
      <calculatedColumnFormula>LEFT($G$5,LEN($G$5)-1)&amp;(RIGHT($G$5,1)+A26)</calculatedColumnFormula>
    </tableColumn>
    <tableColumn id="4" xr3:uid="{B639C5B3-A0C0-41EF-82FD-469668E690E4}" name="gateway" dataDxfId="72" totalsRowDxfId="211">
      <calculatedColumnFormula>$E$5</calculatedColumnFormula>
    </tableColumn>
    <tableColumn id="5" xr3:uid="{09CE4D96-47A5-4084-A00A-7E9FCF4320D1}" name="mask" dataDxfId="71" totalsRowDxfId="210">
      <calculatedColumnFormula>$F$5</calculatedColumnFormula>
    </tableColumn>
    <tableColumn id="10" xr3:uid="{B3A08C44-D3F1-407C-80E1-7495A53A74A2}" name="num_ports" dataDxfId="70" totalsRowDxfId="209"/>
    <tableColumn id="6" xr3:uid="{2D1EE5FB-CC49-41F2-9AB4-1A3F983A3CA3}" name="num_downlink" dataDxfId="69"/>
    <tableColumn id="7" xr3:uid="{5E9967C2-6052-41DD-8A9F-2F6A09502BCD}" name="vlan-antall" dataDxfId="68" totalsRowDxfId="208"/>
    <tableColumn id="8" xr3:uid="{77B04DFE-EDE0-479E-B0F4-8354D62C1E04}" name="intf_prefix" dataDxfId="67" totalsRowDxfId="207"/>
    <tableColumn id="9" xr3:uid="{46BF29F4-011C-4C0E-AE42-EC0A8E280964}" name="num_port_ledig" dataDxfId="66" totalsRowDxfId="206">
      <calculatedColumnFormula>$F26-$G26-2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H2" headerRowDxfId="55" dataDxfId="53" totalsRowDxfId="54">
  <tableColumns count="8">
    <tableColumn id="1" xr3:uid="{00000000-0010-0000-0400-000001000000}" name="site" dataDxfId="63"/>
    <tableColumn id="2" xr3:uid="{00000000-0010-0000-0400-000002000000}" name="intf_prefix" dataDxfId="62"/>
    <tableColumn id="3" xr3:uid="{00000000-0010-0000-0400-000003000000}" name="router-id" dataDxfId="61"/>
    <tableColumn id="4" xr3:uid="{00000000-0010-0000-0400-000004000000}" name="brukernavn" dataDxfId="60"/>
    <tableColumn id="5" xr3:uid="{00000000-0010-0000-0400-000005000000}" name="passord" dataDxfId="59"/>
    <tableColumn id="6" xr3:uid="{00000000-0010-0000-0400-000006000000}" name="vty_lines" dataDxfId="58"/>
    <tableColumn id="7" xr3:uid="{AB00FC62-D408-4EC3-87DF-1FBB1D6A67CC}" name="secret" dataDxfId="57"/>
    <tableColumn id="8" xr3:uid="{0CA8018F-103D-4C3A-B1A5-842F9330657B}" name="tacacs_key" dataDxfId="56">
      <calculatedColumnFormula>'Site 1 (HUB)'!H2</calculatedColumnFormula>
    </tableColumn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10:C14" headerRowDxfId="49" dataDxfId="47" totalsRowDxfId="48">
  <tableColumns count="3">
    <tableColumn id="1" xr3:uid="{00000000-0010-0000-0600-000001000000}" name="vrf" dataDxfId="52"/>
    <tableColumn id="3" xr3:uid="{00000000-0010-0000-0600-000003000000}" name="loopback" dataDxfId="51"/>
    <tableColumn id="4" xr3:uid="{00000000-0010-0000-0600-000004000000}" name="laddr" dataDxfId="50"/>
  </tableColumns>
  <tableStyleInfo name="Site 2-style 3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6:J20" headerRowDxfId="36" dataDxfId="34" totalsRowDxfId="35">
  <tableColumns count="10">
    <tableColumn id="1" xr3:uid="{00000000-0010-0000-0700-000001000000}" name="tunnel id" dataDxfId="46"/>
    <tableColumn id="2" xr3:uid="{00000000-0010-0000-0700-000002000000}" name="vrf" dataDxfId="45"/>
    <tableColumn id="3" xr3:uid="{00000000-0010-0000-0700-000003000000}" name="ip address" dataDxfId="44">
      <calculatedColumnFormula>172&amp;"."&amp;16&amp;"."&amp;0&amp;"."&amp;(H17+$A$2)</calculatedColumnFormula>
    </tableColumn>
    <tableColumn id="4" xr3:uid="{00000000-0010-0000-0700-000004000000}" name="mask" dataDxfId="43"/>
    <tableColumn id="5" xr3:uid="{00000000-0010-0000-0700-000005000000}" name="source" dataDxfId="42">
      <calculatedColumnFormula>$C$2</calculatedColumnFormula>
    </tableColumn>
    <tableColumn id="6" xr3:uid="{00000000-0010-0000-0700-000006000000}" name="destination" dataDxfId="41"/>
    <tableColumn id="7" xr3:uid="{00000000-0010-0000-0700-000007000000}" name="gre mode" dataDxfId="40"/>
    <tableColumn id="8" xr3:uid="{00000000-0010-0000-0700-000008000000}" name="network-id" dataDxfId="39"/>
    <tableColumn id="9" xr3:uid="{00000000-0010-0000-0700-000009000000}" name="ipsec" dataDxfId="38"/>
    <tableColumn id="10" xr3:uid="{00000000-0010-0000-0700-00000A000000}" name="ipsec key" dataDxfId="37"/>
  </tableColumns>
  <tableStyleInfo name="Site 2-style 4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22:E23" headerRowDxfId="28" dataDxfId="26" totalsRowDxfId="27">
  <tableColumns count="5">
    <tableColumn id="1" xr3:uid="{FCAD462F-C9DE-45E3-B342-8BC685D1666E}" name="site" dataDxfId="33">
      <calculatedColumnFormula>A2</calculatedColumnFormula>
    </tableColumn>
    <tableColumn id="4" xr3:uid="{A37D0432-8751-44ED-8106-422243C1F04B}" name="brukernavn" dataDxfId="32"/>
    <tableColumn id="5" xr3:uid="{1A9A17E0-8442-4E89-96DC-BC0A8BECBBCA}" name="passord" dataDxfId="31"/>
    <tableColumn id="3" xr3:uid="{F0C81F5E-B27A-43FB-83C1-1FEB580854DE}" name="vty_lines" dataDxfId="30" totalsRowDxfId="229"/>
    <tableColumn id="2" xr3:uid="{E8DA5B0D-4B09-4D1E-BDAB-BAC231407C4D}" name="secret" dataDxfId="29" totalsRowDxfId="228"/>
  </tableColumns>
  <tableStyleInfo name="Site 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5:J26" totalsRowShown="0" headerRowDxfId="15" dataDxfId="14" totalsRowDxfId="227">
  <tableColumns count="10">
    <tableColumn id="1" xr3:uid="{15F3A197-501D-4FB4-9993-D97C276F45D1}" name="SW" dataDxfId="25" totalsRowDxfId="226">
      <calculatedColumnFormula>(ROW())-(ROW()-1)</calculatedColumnFormula>
    </tableColumn>
    <tableColumn id="2" xr3:uid="{74DD496A-588F-4B13-B651-6375E15475E0}" name="MGMT Vlan" dataDxfId="24" totalsRowDxfId="225"/>
    <tableColumn id="3" xr3:uid="{DADAFDFC-5D9A-4BEF-83FF-73C8B73914A7}" name="MGMT ip" dataDxfId="23" totalsRowDxfId="224">
      <calculatedColumnFormula>LEFT($G$5,LEN($G$5)-1)&amp;(RIGHT($G$5,1)+A26)</calculatedColumnFormula>
    </tableColumn>
    <tableColumn id="4" xr3:uid="{42D46B63-EECB-4A1E-9799-D2E7774B9BCD}" name="gateway" dataDxfId="22" totalsRowDxfId="223">
      <calculatedColumnFormula>$E$5</calculatedColumnFormula>
    </tableColumn>
    <tableColumn id="5" xr3:uid="{0BA7E9B1-43B9-44A7-AEF2-587DFD6DB8EE}" name="mask" dataDxfId="21" totalsRowDxfId="222">
      <calculatedColumnFormula>$F$5</calculatedColumnFormula>
    </tableColumn>
    <tableColumn id="10" xr3:uid="{ABE9A322-920A-45B2-8208-4C5BF949E975}" name="num_ports" dataDxfId="20" totalsRowDxfId="221"/>
    <tableColumn id="6" xr3:uid="{5B7AA8BC-D315-4E8D-8528-C2AE65848FDF}" name="num_downlink" dataDxfId="19"/>
    <tableColumn id="7" xr3:uid="{1088FF3C-FB1C-4E78-BE34-551D9AC36C3C}" name="vlan-antall" dataDxfId="18" totalsRowDxfId="220"/>
    <tableColumn id="8" xr3:uid="{19FD676B-E225-4461-8031-718593F85D50}" name="intf_prefix" dataDxfId="17" totalsRowDxfId="219"/>
    <tableColumn id="9" xr3:uid="{B26584E6-2A20-4139-9852-FBB25CD74431}" name="num_port_ledig" dataDxfId="16" totalsRowDxfId="218">
      <calculatedColumnFormula>$F26-$G26-2</calculatedColumnFormula>
    </tableColumn>
  </tableColumns>
  <tableStyleInfo name="Site 4-style 4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8" headerRowDxfId="2" dataDxfId="0" totalsRowDxfId="1">
  <tableColumns count="11">
    <tableColumn id="1" xr3:uid="{00000000-0010-0000-0500-000001000000}" name="vrf" dataDxfId="13"/>
    <tableColumn id="2" xr3:uid="{00000000-0010-0000-0500-000002000000}" name="vlan" dataDxfId="12"/>
    <tableColumn id="3" xr3:uid="{00000000-0010-0000-0500-000003000000}" name="interface" dataDxfId="11"/>
    <tableColumn id="4" xr3:uid="{00000000-0010-0000-0500-000004000000}" name="nett id" dataDxfId="10"/>
    <tableColumn id="5" xr3:uid="{00000000-0010-0000-0500-000005000000}" name="gateway" dataDxfId="9"/>
    <tableColumn id="6" xr3:uid="{00000000-0010-0000-0500-000006000000}" name="mask" dataDxfId="8"/>
    <tableColumn id="7" xr3:uid="{00000000-0010-0000-0500-000007000000}" name="address min" dataDxfId="7"/>
    <tableColumn id="8" xr3:uid="{00000000-0010-0000-0500-000008000000}" name="address max" dataDxfId="6"/>
    <tableColumn id="9" xr3:uid="{FD71411A-F46A-4E62-B3D3-4B0E2ED5C489}" name="antall-res" dataDxfId="5"/>
    <tableColumn id="10" xr3:uid="{10BC51DC-9FCC-48A1-8D71-0913AE61C798}" name="pri-afxx" dataDxfId="4"/>
    <tableColumn id="11" xr3:uid="{1CC9D42E-8B8D-4781-B4E6-7B024D0D4DB5}" name="pri-1-10" dataDxfId="3"/>
  </tableColumns>
  <tableStyleInfo name="Site 2-style 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E67920D-6068-41CE-9CBB-A8AA3FB8E869}" name="Tabell125" displayName="Tabell125" ref="A1:H2" headerRowDxfId="185" dataDxfId="183" totalsRowDxfId="184">
  <tableColumns count="8">
    <tableColumn id="1" xr3:uid="{71E4F965-7015-4622-9807-C7A33A997900}" name="site" dataDxfId="193"/>
    <tableColumn id="2" xr3:uid="{6D7BBE5C-F715-4677-B8BC-F9ADFEB259D3}" name="intf_prefix" dataDxfId="192"/>
    <tableColumn id="3" xr3:uid="{88614BD3-55BC-4AB7-8548-9312A49228DA}" name="router-id" dataDxfId="191">
      <calculatedColumnFormula>A2&amp;"."&amp;A2&amp;"."&amp;A2&amp;".0"</calculatedColumnFormula>
    </tableColumn>
    <tableColumn id="4" xr3:uid="{A4AA8CC7-BC65-4C9B-8E71-1ADF78815182}" name="brukernavn" dataDxfId="190"/>
    <tableColumn id="5" xr3:uid="{46FB9C58-2BB5-4D6C-B0A2-BA3C6F9072AD}" name="passord" dataDxfId="189"/>
    <tableColumn id="6" xr3:uid="{EA6A5607-EC72-4DA8-AEA4-CA621EB7F613}" name="vty_lines" dataDxfId="188"/>
    <tableColumn id="7" xr3:uid="{59EEA942-0070-42C9-8403-B1E6522FB2E4}" name="secret" dataDxfId="187"/>
    <tableColumn id="8" xr3:uid="{F544AAE6-B34E-4E46-8FC7-A290B9E7B2C2}" name="tacacs_key" dataDxfId="186">
      <calculatedColumnFormula>'Site 1 (HUB)'!H2</calculatedColumnFormula>
    </tableColumn>
  </tableColumns>
  <tableStyleInfo name="Site 2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6E8B2C5-DE58-42E8-ACDE-05E2248CB99B}" name="Tabell326" displayName="Tabell326" ref="A10:C14" headerRowDxfId="179" dataDxfId="177" totalsRowDxfId="178">
  <tableColumns count="3">
    <tableColumn id="1" xr3:uid="{D5362C8B-0D1B-4DE6-B845-73F2DDA5D039}" name="vrf" dataDxfId="182"/>
    <tableColumn id="3" xr3:uid="{EEFD5806-F13A-4DDC-9C35-4CF11508A729}" name="loopback" dataDxfId="181"/>
    <tableColumn id="4" xr3:uid="{E75E1F9B-586E-4986-A49F-C96BB2218258}" name="laddr" dataDxfId="180"/>
  </tableColumns>
  <tableStyleInfo name="Site 2-style 3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64140AA-4A3D-476F-82CA-DF58EC322FE5}" name="Tabell427" displayName="Tabell427" ref="A16:J20" headerRowDxfId="166" dataDxfId="164" totalsRowDxfId="165">
  <tableColumns count="10">
    <tableColumn id="1" xr3:uid="{FABDA968-35EF-4FA5-AE6C-4DE58E3EB8DF}" name="tunnel id" dataDxfId="176"/>
    <tableColumn id="2" xr3:uid="{376C8422-A5BE-4173-AFA8-EA87F4A436C7}" name="vrf" dataDxfId="175"/>
    <tableColumn id="3" xr3:uid="{73534368-052A-46EE-8662-27DF34E9E54E}" name="ip address" dataDxfId="174">
      <calculatedColumnFormula>172&amp;"."&amp;16&amp;"."&amp;0&amp;"."&amp;(H17+$A$2)</calculatedColumnFormula>
    </tableColumn>
    <tableColumn id="4" xr3:uid="{CC48E7F9-98B9-48D5-A4E5-3CD1A535330C}" name="mask" dataDxfId="173"/>
    <tableColumn id="5" xr3:uid="{E65097D1-A579-47BA-8A19-1CFA4CC01BAD}" name="source" dataDxfId="172">
      <calculatedColumnFormula>$C$2</calculatedColumnFormula>
    </tableColumn>
    <tableColumn id="6" xr3:uid="{ECCF47AB-F93F-48FF-9377-109BFBB4892D}" name="destination" dataDxfId="171"/>
    <tableColumn id="7" xr3:uid="{A70D0DD8-79A2-405F-9D17-AA3CE2A4E429}" name="gre mode" dataDxfId="170"/>
    <tableColumn id="8" xr3:uid="{04B3DEE8-6A1A-4AC1-BC4E-DDD531B849A1}" name="network-id" dataDxfId="169"/>
    <tableColumn id="9" xr3:uid="{D9C67BFA-F0F7-433A-B950-C5126CAE0E72}" name="ipsec" dataDxfId="168"/>
    <tableColumn id="10" xr3:uid="{F3108A60-1AE1-4050-82FA-8D83BF89542C}" name="ipsec key" dataDxfId="167"/>
  </tableColumns>
  <tableStyleInfo name="Site 2-style 4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0666C84-1B71-4682-8934-C82677863201}" name="Tabell1319253028" displayName="Tabell1319253028" ref="A22:E23" headerRowDxfId="158" dataDxfId="156" totalsRowDxfId="157">
  <tableColumns count="5">
    <tableColumn id="1" xr3:uid="{F76A4E94-9E4E-4DF9-A622-DC782FEFDC71}" name="site" dataDxfId="163">
      <calculatedColumnFormula>A2</calculatedColumnFormula>
    </tableColumn>
    <tableColumn id="4" xr3:uid="{25D96637-74D7-430C-ADFD-4847532AA1E6}" name="brukernavn" dataDxfId="162"/>
    <tableColumn id="5" xr3:uid="{FB6ACE8A-EBA7-46AA-98CB-CF48BDF2D072}" name="passord" dataDxfId="161"/>
    <tableColumn id="3" xr3:uid="{B2A8055A-61DC-48CA-BE55-45EF62A699A6}" name="vty_lines" dataDxfId="160" totalsRowDxfId="205"/>
    <tableColumn id="2" xr3:uid="{246BBF2F-D9B9-4657-839B-47B0737FD5A3}" name="secret" dataDxfId="159" totalsRowDxfId="204"/>
  </tableColumns>
  <tableStyleInfo name="Site 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7C43481-6313-4742-96A0-9C63A181A83D}" name="Tabell16182428229" displayName="Tabell16182428229" ref="A25:J26" totalsRowShown="0" headerRowDxfId="145" dataDxfId="144" totalsRowDxfId="203">
  <tableColumns count="10">
    <tableColumn id="1" xr3:uid="{F3C873FD-7F78-4A97-A350-152A9CE349D4}" name="SW" dataDxfId="155" totalsRowDxfId="202">
      <calculatedColumnFormula>(ROW())-(ROW()-1)</calculatedColumnFormula>
    </tableColumn>
    <tableColumn id="2" xr3:uid="{CD610490-C0E0-4A89-BF35-7E429F493204}" name="MGMT Vlan" dataDxfId="154" totalsRowDxfId="201"/>
    <tableColumn id="3" xr3:uid="{377887E7-A04A-4795-A6EE-5D0FFA197E59}" name="MGMT ip" dataDxfId="153" totalsRowDxfId="200">
      <calculatedColumnFormula>LEFT($G$5,LEN($G$5)-1)&amp;(RIGHT($G$5,1)+A26)</calculatedColumnFormula>
    </tableColumn>
    <tableColumn id="4" xr3:uid="{508C4AB3-9BB5-4A6E-8B4D-E8FD83EAE3F9}" name="gateway" dataDxfId="152" totalsRowDxfId="199">
      <calculatedColumnFormula>$E$5</calculatedColumnFormula>
    </tableColumn>
    <tableColumn id="5" xr3:uid="{30B46C8F-DE83-49FC-BF0A-FB788A379AF6}" name="mask" dataDxfId="151" totalsRowDxfId="198">
      <calculatedColumnFormula>$F$5</calculatedColumnFormula>
    </tableColumn>
    <tableColumn id="10" xr3:uid="{2116B11A-243B-45A9-BE97-404020E22ADF}" name="num_ports" dataDxfId="150" totalsRowDxfId="197"/>
    <tableColumn id="6" xr3:uid="{C4F8CD3E-0180-4671-8995-B4B033992F96}" name="num_downlink" dataDxfId="149"/>
    <tableColumn id="7" xr3:uid="{6D6DE03B-8970-49F2-A803-4AE17477819C}" name="vlan-antall" dataDxfId="148" totalsRowDxfId="196"/>
    <tableColumn id="8" xr3:uid="{663D27D7-F078-41A1-AFB6-6BF75741ABBC}" name="intf_prefix" dataDxfId="147" totalsRowDxfId="195"/>
    <tableColumn id="9" xr3:uid="{F842DFE9-5A6A-4E65-B16C-AEC13C6D7B24}" name="num_port_ledig" dataDxfId="146" totalsRowDxfId="194">
      <calculatedColumnFormula>$F26-$G26-2</calculatedColumnFormula>
    </tableColumn>
  </tableColumns>
  <tableStyleInfo name="Site 4-style 4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3F02A68-B9A7-4087-9E73-C5CDD812B7E2}" name="Tabell231" displayName="Tabell231" ref="A4:K8" headerRowDxfId="132" dataDxfId="130" totalsRowDxfId="131">
  <tableColumns count="11">
    <tableColumn id="1" xr3:uid="{742F599A-A4F3-4AF2-8605-36F1E732D4A2}" name="vrf" dataDxfId="143"/>
    <tableColumn id="2" xr3:uid="{DA1A8B74-96F8-4A10-9191-9078F72861B9}" name="vlan" dataDxfId="142"/>
    <tableColumn id="3" xr3:uid="{588A5050-C9A5-402E-87F8-9321761096E4}" name="interface" dataDxfId="141"/>
    <tableColumn id="4" xr3:uid="{6173AFA8-30D0-43EA-AE5F-6A06128C4368}" name="nett id" dataDxfId="140"/>
    <tableColumn id="5" xr3:uid="{50B1F3FD-68D0-48FD-B2AC-08F145761D6B}" name="gateway" dataDxfId="139">
      <calculatedColumnFormula>LEFT(D5,LEN(D5)-1)&amp;"1"</calculatedColumnFormula>
    </tableColumn>
    <tableColumn id="6" xr3:uid="{D51FB794-1CCB-4E4A-81F0-D8A54B18ADDE}" name="mask" dataDxfId="138"/>
    <tableColumn id="7" xr3:uid="{504977E5-2268-4BCB-BD19-956729E1F1D1}" name="address min" dataDxfId="137">
      <calculatedColumnFormula>LEFT(D5,LEN(D5)-1)&amp;"1"</calculatedColumnFormula>
    </tableColumn>
    <tableColumn id="8" xr3:uid="{4854C6A9-A9D4-4C31-A62C-0D49B2E81729}" name="address max" dataDxfId="136"/>
    <tableColumn id="9" xr3:uid="{C4988C76-52E3-4E0B-9EA5-8E8AFBCEDBE8}" name="antall-res" dataDxfId="135"/>
    <tableColumn id="10" xr3:uid="{0DB76040-4093-4BCE-A1D0-6053814887D9}" name="pri-afxx" dataDxfId="134"/>
    <tableColumn id="11" xr3:uid="{AF428125-AF59-4B47-A00F-A92E61AA6F0F}" name="pri-1-10" dataDxfId="133"/>
  </tableColumns>
  <tableStyleInfo name="Site 2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2"/>
  <sheetViews>
    <sheetView tabSelected="1" zoomScale="85" zoomScaleNormal="85" workbookViewId="0">
      <pane ySplit="1" topLeftCell="A2" activePane="bottomLeft" state="frozen"/>
      <selection pane="bottomLeft" activeCell="J12" sqref="J12"/>
    </sheetView>
  </sheetViews>
  <sheetFormatPr defaultColWidth="12.5546875" defaultRowHeight="15" customHeight="1" x14ac:dyDescent="0.25"/>
  <cols>
    <col min="1" max="1" width="10" style="5" bestFit="1" customWidth="1"/>
    <col min="2" max="2" width="12.6640625" style="5" customWidth="1"/>
    <col min="3" max="3" width="69" style="5" bestFit="1" customWidth="1"/>
    <col min="4" max="4" width="23.88671875" style="5" customWidth="1"/>
    <col min="5" max="5" width="69" style="5" bestFit="1" customWidth="1"/>
    <col min="6" max="6" width="12.21875" style="5" bestFit="1" customWidth="1"/>
    <col min="7" max="7" width="69" style="5" bestFit="1" customWidth="1"/>
    <col min="8" max="8" width="25" style="5" bestFit="1" customWidth="1"/>
    <col min="9" max="9" width="18.44140625" style="5" customWidth="1"/>
    <col min="10" max="10" width="37.44140625" style="5" customWidth="1"/>
    <col min="11" max="16384" width="12.5546875" style="5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43</v>
      </c>
      <c r="H1" s="1" t="s">
        <v>48</v>
      </c>
      <c r="I1" s="1" t="s">
        <v>50</v>
      </c>
    </row>
    <row r="2" spans="1:11" ht="15.75" customHeight="1" x14ac:dyDescent="0.25">
      <c r="A2" s="2">
        <v>1</v>
      </c>
      <c r="B2" s="2" t="s">
        <v>40</v>
      </c>
      <c r="C2" s="2" t="str">
        <f>A2&amp;"."&amp;A2&amp;"."&amp;A2&amp;".0"</f>
        <v>1.1.1.0</v>
      </c>
      <c r="D2" s="2" t="s">
        <v>6</v>
      </c>
      <c r="E2" s="2" t="s">
        <v>44</v>
      </c>
      <c r="F2" s="2" t="s">
        <v>55</v>
      </c>
      <c r="G2" s="2" t="s">
        <v>44</v>
      </c>
      <c r="H2" s="2" t="s">
        <v>47</v>
      </c>
      <c r="I2" s="2" t="b">
        <v>1</v>
      </c>
    </row>
    <row r="3" spans="1:11" ht="15.75" customHeight="1" x14ac:dyDescent="0.25">
      <c r="A3" s="6"/>
      <c r="B3" s="7"/>
      <c r="C3" s="6"/>
      <c r="D3" s="6"/>
      <c r="E3" s="6"/>
      <c r="F3" s="6"/>
      <c r="G3" s="6"/>
      <c r="H3" s="6"/>
    </row>
    <row r="4" spans="1:11" ht="15.75" customHeight="1" x14ac:dyDescent="0.25">
      <c r="A4" s="8" t="s">
        <v>7</v>
      </c>
      <c r="B4" s="8" t="s">
        <v>8</v>
      </c>
      <c r="C4" s="8" t="s">
        <v>9</v>
      </c>
      <c r="D4" s="8" t="s">
        <v>10</v>
      </c>
      <c r="E4" s="8" t="s">
        <v>11</v>
      </c>
      <c r="F4" s="8" t="s">
        <v>12</v>
      </c>
      <c r="G4" s="8" t="s">
        <v>13</v>
      </c>
      <c r="H4" s="8" t="s">
        <v>14</v>
      </c>
      <c r="I4" s="8" t="s">
        <v>33</v>
      </c>
      <c r="J4" s="10" t="s">
        <v>42</v>
      </c>
      <c r="K4" s="10" t="s">
        <v>34</v>
      </c>
    </row>
    <row r="5" spans="1:11" ht="15.75" customHeight="1" x14ac:dyDescent="0.25">
      <c r="A5" s="11" t="s">
        <v>15</v>
      </c>
      <c r="B5" s="12">
        <v>10</v>
      </c>
      <c r="C5" s="11">
        <v>0</v>
      </c>
      <c r="D5" s="11" t="str">
        <f>10&amp;"."&amp;(B5+A2)&amp;"."&amp;0&amp;"."&amp;0</f>
        <v>10.11.0.0</v>
      </c>
      <c r="E5" s="11" t="str">
        <f t="shared" ref="E5:E7" si="0">LEFT(D5,LEN(D5)-1)&amp;"1"</f>
        <v>10.11.0.1</v>
      </c>
      <c r="F5" s="11" t="s">
        <v>16</v>
      </c>
      <c r="G5" s="11" t="str">
        <f t="shared" ref="G5:G7" si="1">LEFT(D5,LEN(D5)-1)&amp;"1"</f>
        <v>10.11.0.1</v>
      </c>
      <c r="H5" s="11" t="str">
        <f ca="1">IFERROR(__xludf.DUMMYFUNCTION("REGEXREPLACE(D5,""\.[0-9]+\.[0-9]+$"","".255.254"")"),"10.11.255.254")</f>
        <v>10.11.255.254</v>
      </c>
      <c r="I5" s="11">
        <v>10</v>
      </c>
      <c r="J5" s="13">
        <v>21</v>
      </c>
      <c r="K5" s="13">
        <v>5</v>
      </c>
    </row>
    <row r="6" spans="1:11" ht="15.75" customHeight="1" x14ac:dyDescent="0.25">
      <c r="A6" s="11" t="s">
        <v>17</v>
      </c>
      <c r="B6" s="12">
        <v>20</v>
      </c>
      <c r="C6" s="11">
        <v>0</v>
      </c>
      <c r="D6" s="11" t="str">
        <f>10&amp;"."&amp;(B6+A2)&amp;"."&amp;0&amp;"."&amp;0</f>
        <v>10.21.0.0</v>
      </c>
      <c r="E6" s="11" t="str">
        <f t="shared" si="0"/>
        <v>10.21.0.1</v>
      </c>
      <c r="F6" s="11" t="s">
        <v>16</v>
      </c>
      <c r="G6" s="11" t="str">
        <f t="shared" si="1"/>
        <v>10.21.0.1</v>
      </c>
      <c r="H6" s="11" t="str">
        <f ca="1">IFERROR(__xludf.DUMMYFUNCTION("REGEXREPLACE(D6,""\.[0-9]+\.[0-9]+$"","".255.254"")"),"10.21.255.254")</f>
        <v>10.21.255.254</v>
      </c>
      <c r="I6" s="11">
        <v>10</v>
      </c>
      <c r="J6" s="13">
        <v>11</v>
      </c>
      <c r="K6" s="13">
        <v>2</v>
      </c>
    </row>
    <row r="7" spans="1:11" ht="15.75" customHeight="1" x14ac:dyDescent="0.25">
      <c r="A7" s="11" t="s">
        <v>18</v>
      </c>
      <c r="B7" s="12">
        <v>30</v>
      </c>
      <c r="C7" s="11">
        <v>0</v>
      </c>
      <c r="D7" s="11" t="str">
        <f>10&amp;"."&amp;(B7+A2)&amp;"."&amp;0&amp;"."&amp;0</f>
        <v>10.31.0.0</v>
      </c>
      <c r="E7" s="11" t="str">
        <f t="shared" si="0"/>
        <v>10.31.0.1</v>
      </c>
      <c r="F7" s="11" t="s">
        <v>16</v>
      </c>
      <c r="G7" s="11" t="str">
        <f t="shared" si="1"/>
        <v>10.31.0.1</v>
      </c>
      <c r="H7" s="11" t="str">
        <f ca="1">IFERROR(__xludf.DUMMYFUNCTION("REGEXREPLACE(D7,""\.[0-9]+\.[0-9]+$"","".255.254"")"),"10.31.255.254")</f>
        <v>10.31.255.254</v>
      </c>
      <c r="I7" s="11">
        <v>10</v>
      </c>
      <c r="J7" s="5">
        <v>42</v>
      </c>
      <c r="K7" s="5">
        <v>7</v>
      </c>
    </row>
    <row r="8" spans="1:11" ht="15.75" customHeight="1" x14ac:dyDescent="0.25">
      <c r="A8" s="11" t="s">
        <v>51</v>
      </c>
      <c r="B8" s="12">
        <v>40</v>
      </c>
      <c r="C8" s="11">
        <v>0</v>
      </c>
      <c r="D8" s="11" t="str">
        <f>10&amp;"."&amp;(B8+A2)&amp;"."&amp;0&amp;"."&amp;0</f>
        <v>10.41.0.0</v>
      </c>
      <c r="E8" s="11" t="str">
        <f t="shared" ref="E8" si="2">LEFT(D8,LEN(D8)-1)&amp;"1"</f>
        <v>10.41.0.1</v>
      </c>
      <c r="F8" s="11" t="s">
        <v>16</v>
      </c>
      <c r="G8" s="11" t="str">
        <f t="shared" ref="G8" si="3">LEFT(D8,LEN(D8)-1)&amp;"1"</f>
        <v>10.41.0.1</v>
      </c>
      <c r="H8" s="11" t="str">
        <f ca="1">IFERROR(__xludf.DUMMYFUNCTION("REGEXREPLACE(D7,""\.[0-9]+\.[0-9]+$"","".255.254"")"),"10.31.255.254")</f>
        <v>10.31.255.254</v>
      </c>
      <c r="I8" s="11">
        <v>10</v>
      </c>
      <c r="J8" s="5">
        <v>41</v>
      </c>
      <c r="K8" s="5">
        <v>10</v>
      </c>
    </row>
    <row r="9" spans="1:11" ht="15.75" customHeight="1" x14ac:dyDescent="0.25">
      <c r="A9" s="3"/>
      <c r="B9" s="3"/>
    </row>
    <row r="10" spans="1:11" ht="15.75" customHeight="1" x14ac:dyDescent="0.25">
      <c r="A10" s="8" t="s">
        <v>7</v>
      </c>
      <c r="B10" s="8" t="s">
        <v>19</v>
      </c>
      <c r="C10" s="8" t="s">
        <v>20</v>
      </c>
    </row>
    <row r="11" spans="1:11" ht="15.75" customHeight="1" x14ac:dyDescent="0.25">
      <c r="A11" s="11" t="s">
        <v>15</v>
      </c>
      <c r="B11" s="11">
        <v>10</v>
      </c>
      <c r="C11" s="11" t="str">
        <f>$A$2&amp;"."&amp;$A$2&amp;"."&amp;$A$2&amp;"."&amp;(B11)</f>
        <v>1.1.1.10</v>
      </c>
    </row>
    <row r="12" spans="1:11" ht="15.75" customHeight="1" x14ac:dyDescent="0.25">
      <c r="A12" s="11" t="s">
        <v>17</v>
      </c>
      <c r="B12" s="11">
        <v>20</v>
      </c>
      <c r="C12" s="11" t="str">
        <f t="shared" ref="C12:C14" si="4">$A$2&amp;"."&amp;$A$2&amp;"."&amp;$A$2&amp;"."&amp;(B12)</f>
        <v>1.1.1.20</v>
      </c>
    </row>
    <row r="13" spans="1:11" ht="15.75" customHeight="1" x14ac:dyDescent="0.25">
      <c r="A13" s="11" t="s">
        <v>18</v>
      </c>
      <c r="B13" s="11">
        <v>30</v>
      </c>
      <c r="C13" s="11" t="str">
        <f t="shared" si="4"/>
        <v>1.1.1.30</v>
      </c>
    </row>
    <row r="14" spans="1:11" ht="15.75" customHeight="1" x14ac:dyDescent="0.25">
      <c r="A14" s="11" t="s">
        <v>51</v>
      </c>
      <c r="B14" s="11">
        <v>40</v>
      </c>
      <c r="C14" s="11" t="str">
        <f t="shared" si="4"/>
        <v>1.1.1.40</v>
      </c>
    </row>
    <row r="15" spans="1:11" ht="15.75" customHeight="1" x14ac:dyDescent="0.25"/>
    <row r="16" spans="1:11" ht="15.75" customHeight="1" x14ac:dyDescent="0.25">
      <c r="A16" s="8" t="s">
        <v>21</v>
      </c>
      <c r="B16" s="8" t="s">
        <v>7</v>
      </c>
      <c r="C16" s="8" t="s">
        <v>22</v>
      </c>
      <c r="D16" s="8" t="s">
        <v>12</v>
      </c>
      <c r="E16" s="8" t="s">
        <v>23</v>
      </c>
      <c r="F16" s="8" t="s">
        <v>24</v>
      </c>
      <c r="G16" s="8" t="s">
        <v>25</v>
      </c>
      <c r="H16" s="1" t="s">
        <v>26</v>
      </c>
      <c r="I16" s="1" t="s">
        <v>27</v>
      </c>
      <c r="J16" s="1" t="s">
        <v>28</v>
      </c>
    </row>
    <row r="17" spans="1:10" ht="15.75" customHeight="1" x14ac:dyDescent="0.25">
      <c r="A17" s="11" t="s">
        <v>29</v>
      </c>
      <c r="B17" s="11" t="s">
        <v>15</v>
      </c>
      <c r="C17" s="11" t="str">
        <f>172&amp;"."&amp;16&amp;"."&amp;0&amp;"."&amp;(H17+$A$2)</f>
        <v>172.16.0.11</v>
      </c>
      <c r="D17" s="11" t="s">
        <v>30</v>
      </c>
      <c r="E17" s="11" t="str">
        <f t="shared" ref="E17:E20" si="5">$C$2</f>
        <v>1.1.1.0</v>
      </c>
      <c r="F17" s="11"/>
      <c r="G17" s="11" t="s">
        <v>31</v>
      </c>
      <c r="H17" s="2">
        <v>10</v>
      </c>
      <c r="I17" s="2"/>
      <c r="J17" s="2"/>
    </row>
    <row r="18" spans="1:10" ht="15.75" customHeight="1" x14ac:dyDescent="0.25">
      <c r="A18" s="11" t="s">
        <v>45</v>
      </c>
      <c r="B18" s="11" t="s">
        <v>17</v>
      </c>
      <c r="C18" s="11" t="str">
        <f t="shared" ref="C18:C19" si="6">172&amp;"."&amp;16&amp;"."&amp;0&amp;"."&amp;(H18+$A$2)</f>
        <v>172.16.0.21</v>
      </c>
      <c r="D18" s="11" t="s">
        <v>30</v>
      </c>
      <c r="E18" s="11" t="str">
        <f t="shared" si="5"/>
        <v>1.1.1.0</v>
      </c>
      <c r="F18" s="11"/>
      <c r="G18" s="11" t="s">
        <v>31</v>
      </c>
      <c r="H18" s="2">
        <v>20</v>
      </c>
      <c r="I18" s="2"/>
      <c r="J18" s="2"/>
    </row>
    <row r="19" spans="1:10" ht="15.75" customHeight="1" x14ac:dyDescent="0.25">
      <c r="A19" s="11" t="s">
        <v>32</v>
      </c>
      <c r="B19" s="11" t="s">
        <v>18</v>
      </c>
      <c r="C19" s="11" t="str">
        <f t="shared" si="6"/>
        <v>172.16.0.31</v>
      </c>
      <c r="D19" s="11" t="s">
        <v>30</v>
      </c>
      <c r="E19" s="11" t="str">
        <f t="shared" si="5"/>
        <v>1.1.1.0</v>
      </c>
      <c r="F19" s="11"/>
      <c r="G19" s="11" t="s">
        <v>31</v>
      </c>
      <c r="H19" s="2">
        <v>30</v>
      </c>
      <c r="I19" s="2" t="b">
        <v>1</v>
      </c>
      <c r="J19" s="2"/>
    </row>
    <row r="20" spans="1:10" ht="15.75" customHeight="1" x14ac:dyDescent="0.25">
      <c r="A20" s="11" t="s">
        <v>52</v>
      </c>
      <c r="B20" s="11" t="s">
        <v>51</v>
      </c>
      <c r="C20" s="11" t="str">
        <f t="shared" ref="C20" si="7">172&amp;"."&amp;16&amp;"."&amp;0&amp;"."&amp;(H20+$A$2)</f>
        <v>172.16.0.41</v>
      </c>
      <c r="D20" s="11" t="s">
        <v>30</v>
      </c>
      <c r="E20" s="14" t="str">
        <f t="shared" si="5"/>
        <v>1.1.1.0</v>
      </c>
      <c r="F20" s="11"/>
      <c r="G20" s="11" t="s">
        <v>31</v>
      </c>
      <c r="H20" s="2">
        <v>40</v>
      </c>
      <c r="I20" s="2" t="b">
        <v>1</v>
      </c>
      <c r="J20" s="2"/>
    </row>
    <row r="21" spans="1:10" ht="15.75" customHeight="1" x14ac:dyDescent="0.25">
      <c r="A21" s="16"/>
      <c r="B21" s="16"/>
      <c r="C21" s="16"/>
      <c r="D21" s="16"/>
      <c r="E21" s="16"/>
      <c r="F21" s="16"/>
      <c r="G21" s="16"/>
    </row>
    <row r="22" spans="1:10" ht="15.75" customHeight="1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43</v>
      </c>
      <c r="F22" s="1" t="s">
        <v>46</v>
      </c>
    </row>
    <row r="23" spans="1:10" ht="28.8" customHeight="1" x14ac:dyDescent="0.25">
      <c r="A23" s="2">
        <f>A2</f>
        <v>1</v>
      </c>
      <c r="B23" s="2" t="s">
        <v>6</v>
      </c>
      <c r="C23" s="2" t="s">
        <v>44</v>
      </c>
      <c r="D23" s="2" t="s">
        <v>55</v>
      </c>
      <c r="E23" s="2" t="s">
        <v>44</v>
      </c>
      <c r="F23" s="2">
        <v>200</v>
      </c>
    </row>
    <row r="24" spans="1:10" ht="15.75" customHeight="1" x14ac:dyDescent="0.25"/>
    <row r="25" spans="1:10" ht="39" customHeight="1" x14ac:dyDescent="0.25">
      <c r="A25" s="8" t="s">
        <v>35</v>
      </c>
      <c r="B25" s="8" t="s">
        <v>36</v>
      </c>
      <c r="C25" s="8" t="s">
        <v>37</v>
      </c>
      <c r="D25" s="8" t="s">
        <v>11</v>
      </c>
      <c r="E25" s="8" t="s">
        <v>12</v>
      </c>
      <c r="F25" s="8" t="s">
        <v>39</v>
      </c>
      <c r="G25" s="5" t="s">
        <v>49</v>
      </c>
      <c r="H25" s="8" t="s">
        <v>38</v>
      </c>
      <c r="I25" s="1" t="s">
        <v>1</v>
      </c>
      <c r="J25" s="1" t="s">
        <v>41</v>
      </c>
    </row>
    <row r="26" spans="1:10" ht="45" customHeight="1" x14ac:dyDescent="0.25">
      <c r="A26" s="11">
        <f>(ROW())-(ROW()-1)</f>
        <v>1</v>
      </c>
      <c r="B26" s="11">
        <v>10</v>
      </c>
      <c r="C26" s="11" t="str">
        <f>LEFT($G$5,LEN($G$5)-1)&amp;(RIGHT($G$5,1)+A26)</f>
        <v>10.11.0.2</v>
      </c>
      <c r="D26" s="11" t="str">
        <f>$E$5</f>
        <v>10.11.0.1</v>
      </c>
      <c r="E26" s="11" t="str">
        <f>$F$5</f>
        <v>255.255.0.0</v>
      </c>
      <c r="F26" s="11">
        <v>24</v>
      </c>
      <c r="G26" s="15">
        <v>0</v>
      </c>
      <c r="H26" s="11" t="s">
        <v>53</v>
      </c>
      <c r="I26" s="2" t="s">
        <v>40</v>
      </c>
      <c r="J26" s="2">
        <f>$F26-$G26-2</f>
        <v>22</v>
      </c>
    </row>
    <row r="27" spans="1:10" ht="15.75" customHeight="1" x14ac:dyDescent="0.25"/>
    <row r="28" spans="1:10" ht="15.75" customHeight="1" x14ac:dyDescent="0.25"/>
    <row r="29" spans="1:10" ht="15.75" customHeight="1" x14ac:dyDescent="0.25"/>
    <row r="30" spans="1:10" ht="15.75" customHeight="1" x14ac:dyDescent="0.25"/>
    <row r="31" spans="1:10" ht="15.75" customHeight="1" x14ac:dyDescent="0.25"/>
    <row r="32" spans="1:10" ht="15.75" customHeight="1" x14ac:dyDescent="0.25"/>
    <row r="33" s="5" customFormat="1" ht="15.75" customHeight="1" x14ac:dyDescent="0.25"/>
    <row r="34" s="5" customFormat="1" ht="15.75" customHeight="1" x14ac:dyDescent="0.25"/>
    <row r="35" s="5" customFormat="1" ht="15.75" customHeight="1" x14ac:dyDescent="0.25"/>
    <row r="36" s="5" customFormat="1" ht="15.75" customHeight="1" x14ac:dyDescent="0.25"/>
    <row r="37" s="5" customFormat="1" ht="15.75" customHeight="1" x14ac:dyDescent="0.25"/>
    <row r="38" s="5" customFormat="1" ht="15.75" customHeight="1" x14ac:dyDescent="0.25"/>
    <row r="39" s="5" customFormat="1" ht="15.75" customHeight="1" x14ac:dyDescent="0.25"/>
    <row r="40" s="5" customFormat="1" ht="15.75" customHeight="1" x14ac:dyDescent="0.25"/>
    <row r="41" s="5" customFormat="1" ht="15.75" customHeight="1" x14ac:dyDescent="0.25"/>
    <row r="42" s="5" customFormat="1" ht="15.75" customHeight="1" x14ac:dyDescent="0.25"/>
    <row r="43" s="5" customFormat="1" ht="15.75" customHeight="1" x14ac:dyDescent="0.25"/>
    <row r="44" s="5" customFormat="1" ht="15.75" customHeight="1" x14ac:dyDescent="0.25"/>
    <row r="45" s="5" customFormat="1" ht="15.75" customHeight="1" x14ac:dyDescent="0.25"/>
    <row r="46" s="5" customFormat="1" ht="15.75" customHeight="1" x14ac:dyDescent="0.25"/>
    <row r="47" s="5" customFormat="1" ht="15.75" customHeight="1" x14ac:dyDescent="0.25"/>
    <row r="48" s="5" customFormat="1" ht="15.75" customHeight="1" x14ac:dyDescent="0.25"/>
    <row r="49" s="5" customFormat="1" ht="15.75" customHeight="1" x14ac:dyDescent="0.25"/>
    <row r="50" s="5" customFormat="1" ht="15.75" customHeight="1" x14ac:dyDescent="0.25"/>
    <row r="51" s="5" customFormat="1" ht="15.75" customHeight="1" x14ac:dyDescent="0.25"/>
    <row r="52" s="5" customFormat="1" ht="15.75" customHeight="1" x14ac:dyDescent="0.25"/>
    <row r="53" s="5" customFormat="1" ht="15.75" customHeight="1" x14ac:dyDescent="0.25"/>
    <row r="54" s="5" customFormat="1" ht="15.75" customHeight="1" x14ac:dyDescent="0.25"/>
    <row r="55" s="5" customFormat="1" ht="15.75" customHeight="1" x14ac:dyDescent="0.25"/>
    <row r="56" s="5" customFormat="1" ht="15.75" customHeight="1" x14ac:dyDescent="0.25"/>
    <row r="57" s="5" customFormat="1" ht="15.75" customHeight="1" x14ac:dyDescent="0.25"/>
    <row r="58" s="5" customFormat="1" ht="15.75" customHeight="1" x14ac:dyDescent="0.25"/>
    <row r="59" s="5" customFormat="1" ht="15.75" customHeight="1" x14ac:dyDescent="0.25"/>
    <row r="60" s="5" customFormat="1" ht="15.75" customHeight="1" x14ac:dyDescent="0.25"/>
    <row r="61" s="5" customFormat="1" ht="15.75" customHeight="1" x14ac:dyDescent="0.25"/>
    <row r="62" s="5" customFormat="1" ht="15.75" customHeight="1" x14ac:dyDescent="0.25"/>
    <row r="63" s="5" customFormat="1" ht="15.75" customHeight="1" x14ac:dyDescent="0.25"/>
    <row r="64" s="5" customFormat="1" ht="15.75" customHeight="1" x14ac:dyDescent="0.25"/>
    <row r="65" s="5" customFormat="1" ht="15.75" customHeight="1" x14ac:dyDescent="0.25"/>
    <row r="66" s="5" customFormat="1" ht="15.75" customHeight="1" x14ac:dyDescent="0.25"/>
    <row r="67" s="5" customFormat="1" ht="15.75" customHeight="1" x14ac:dyDescent="0.25"/>
    <row r="68" s="5" customFormat="1" ht="15.75" customHeight="1" x14ac:dyDescent="0.25"/>
    <row r="69" s="5" customFormat="1" ht="15.75" customHeight="1" x14ac:dyDescent="0.25"/>
    <row r="70" s="5" customFormat="1" ht="15.75" customHeight="1" x14ac:dyDescent="0.25"/>
    <row r="71" s="5" customFormat="1" ht="15.75" customHeight="1" x14ac:dyDescent="0.25"/>
    <row r="72" s="5" customFormat="1" ht="15.75" customHeight="1" x14ac:dyDescent="0.25"/>
    <row r="73" s="5" customFormat="1" ht="15.75" customHeight="1" x14ac:dyDescent="0.25"/>
    <row r="74" s="5" customFormat="1" ht="15.75" customHeight="1" x14ac:dyDescent="0.25"/>
    <row r="75" s="5" customFormat="1" ht="15.75" customHeight="1" x14ac:dyDescent="0.25"/>
    <row r="76" s="5" customFormat="1" ht="15.75" customHeight="1" x14ac:dyDescent="0.25"/>
    <row r="77" s="5" customFormat="1" ht="15.75" customHeight="1" x14ac:dyDescent="0.25"/>
    <row r="78" s="5" customFormat="1" ht="15.75" customHeight="1" x14ac:dyDescent="0.25"/>
    <row r="79" s="5" customFormat="1" ht="15.75" customHeight="1" x14ac:dyDescent="0.25"/>
    <row r="80" s="5" customFormat="1" ht="15.75" customHeight="1" x14ac:dyDescent="0.25"/>
    <row r="81" s="5" customFormat="1" ht="15.75" customHeight="1" x14ac:dyDescent="0.25"/>
    <row r="82" s="5" customFormat="1" ht="15.75" customHeight="1" x14ac:dyDescent="0.25"/>
    <row r="83" s="5" customFormat="1" ht="15.75" customHeight="1" x14ac:dyDescent="0.25"/>
    <row r="84" s="5" customFormat="1" ht="15.75" customHeight="1" x14ac:dyDescent="0.25"/>
    <row r="85" s="5" customFormat="1" ht="15.75" customHeight="1" x14ac:dyDescent="0.25"/>
    <row r="86" s="5" customFormat="1" ht="15.75" customHeight="1" x14ac:dyDescent="0.25"/>
    <row r="87" s="5" customFormat="1" ht="15.75" customHeight="1" x14ac:dyDescent="0.25"/>
    <row r="88" s="5" customFormat="1" ht="15.75" customHeight="1" x14ac:dyDescent="0.25"/>
    <row r="89" s="5" customFormat="1" ht="15.75" customHeight="1" x14ac:dyDescent="0.25"/>
    <row r="90" s="5" customFormat="1" ht="15.75" customHeight="1" x14ac:dyDescent="0.25"/>
    <row r="91" s="5" customFormat="1" ht="15.75" customHeight="1" x14ac:dyDescent="0.25"/>
    <row r="92" s="5" customFormat="1" ht="15.75" customHeight="1" x14ac:dyDescent="0.25"/>
    <row r="93" s="5" customFormat="1" ht="15.75" customHeight="1" x14ac:dyDescent="0.25"/>
    <row r="94" s="5" customFormat="1" ht="15.75" customHeight="1" x14ac:dyDescent="0.25"/>
    <row r="95" s="5" customFormat="1" ht="15.75" customHeight="1" x14ac:dyDescent="0.25"/>
    <row r="96" s="5" customFormat="1" ht="15.75" customHeight="1" x14ac:dyDescent="0.25"/>
    <row r="97" s="5" customFormat="1" ht="15.75" customHeight="1" x14ac:dyDescent="0.25"/>
    <row r="98" s="5" customFormat="1" ht="15.75" customHeight="1" x14ac:dyDescent="0.25"/>
    <row r="99" s="5" customFormat="1" ht="15.75" customHeight="1" x14ac:dyDescent="0.25"/>
    <row r="100" s="5" customFormat="1" ht="15.75" customHeight="1" x14ac:dyDescent="0.25"/>
    <row r="101" s="5" customFormat="1" ht="15.75" customHeight="1" x14ac:dyDescent="0.25"/>
    <row r="102" s="5" customFormat="1" ht="15.75" customHeight="1" x14ac:dyDescent="0.25"/>
    <row r="103" s="5" customFormat="1" ht="15.75" customHeight="1" x14ac:dyDescent="0.25"/>
    <row r="104" s="5" customFormat="1" ht="15.75" customHeight="1" x14ac:dyDescent="0.25"/>
    <row r="105" s="5" customFormat="1" ht="15.75" customHeight="1" x14ac:dyDescent="0.25"/>
    <row r="106" s="5" customFormat="1" ht="15.75" customHeight="1" x14ac:dyDescent="0.25"/>
    <row r="107" s="5" customFormat="1" ht="15.75" customHeight="1" x14ac:dyDescent="0.25"/>
    <row r="108" s="5" customFormat="1" ht="15.75" customHeight="1" x14ac:dyDescent="0.25"/>
    <row r="109" s="5" customFormat="1" ht="15.75" customHeight="1" x14ac:dyDescent="0.25"/>
    <row r="110" s="5" customFormat="1" ht="15.75" customHeight="1" x14ac:dyDescent="0.25"/>
    <row r="111" s="5" customFormat="1" ht="15.75" customHeight="1" x14ac:dyDescent="0.25"/>
    <row r="112" s="5" customFormat="1" ht="15.75" customHeight="1" x14ac:dyDescent="0.25"/>
    <row r="113" s="5" customFormat="1" ht="15.75" customHeight="1" x14ac:dyDescent="0.25"/>
    <row r="114" s="5" customFormat="1" ht="15.75" customHeight="1" x14ac:dyDescent="0.25"/>
    <row r="115" s="5" customFormat="1" ht="15.75" customHeight="1" x14ac:dyDescent="0.25"/>
    <row r="116" s="5" customFormat="1" ht="15.75" customHeight="1" x14ac:dyDescent="0.25"/>
    <row r="117" s="5" customFormat="1" ht="15.75" customHeight="1" x14ac:dyDescent="0.25"/>
    <row r="118" s="5" customFormat="1" ht="15.75" customHeight="1" x14ac:dyDescent="0.25"/>
    <row r="119" s="5" customFormat="1" ht="15.75" customHeight="1" x14ac:dyDescent="0.25"/>
    <row r="120" s="5" customFormat="1" ht="15.75" customHeight="1" x14ac:dyDescent="0.25"/>
    <row r="121" s="5" customFormat="1" ht="15.75" customHeight="1" x14ac:dyDescent="0.25"/>
    <row r="122" s="5" customFormat="1" ht="15.75" customHeight="1" x14ac:dyDescent="0.25"/>
    <row r="123" s="5" customFormat="1" ht="15.75" customHeight="1" x14ac:dyDescent="0.25"/>
    <row r="124" s="5" customFormat="1" ht="15.75" customHeight="1" x14ac:dyDescent="0.25"/>
    <row r="125" s="5" customFormat="1" ht="15.75" customHeight="1" x14ac:dyDescent="0.25"/>
    <row r="126" s="5" customFormat="1" ht="15.75" customHeight="1" x14ac:dyDescent="0.25"/>
    <row r="127" s="5" customFormat="1" ht="15.75" customHeight="1" x14ac:dyDescent="0.25"/>
    <row r="128" s="5" customFormat="1" ht="15.75" customHeight="1" x14ac:dyDescent="0.25"/>
    <row r="129" s="5" customFormat="1" ht="15.75" customHeight="1" x14ac:dyDescent="0.25"/>
    <row r="130" s="5" customFormat="1" ht="15.75" customHeight="1" x14ac:dyDescent="0.25"/>
    <row r="131" s="5" customFormat="1" ht="15.75" customHeight="1" x14ac:dyDescent="0.25"/>
    <row r="132" s="5" customFormat="1" ht="15.75" customHeight="1" x14ac:dyDescent="0.25"/>
    <row r="133" s="5" customFormat="1" ht="15.75" customHeight="1" x14ac:dyDescent="0.25"/>
    <row r="134" s="5" customFormat="1" ht="15.75" customHeight="1" x14ac:dyDescent="0.25"/>
    <row r="135" s="5" customFormat="1" ht="15.75" customHeight="1" x14ac:dyDescent="0.25"/>
    <row r="136" s="5" customFormat="1" ht="15.75" customHeight="1" x14ac:dyDescent="0.25"/>
    <row r="137" s="5" customFormat="1" ht="15.75" customHeight="1" x14ac:dyDescent="0.25"/>
    <row r="138" s="5" customFormat="1" ht="15.75" customHeight="1" x14ac:dyDescent="0.25"/>
    <row r="139" s="5" customFormat="1" ht="15.75" customHeight="1" x14ac:dyDescent="0.25"/>
    <row r="140" s="5" customFormat="1" ht="15.75" customHeight="1" x14ac:dyDescent="0.25"/>
    <row r="141" s="5" customFormat="1" ht="15.75" customHeight="1" x14ac:dyDescent="0.25"/>
    <row r="142" s="5" customFormat="1" ht="15.75" customHeight="1" x14ac:dyDescent="0.25"/>
    <row r="143" s="5" customFormat="1" ht="15.75" customHeight="1" x14ac:dyDescent="0.25"/>
    <row r="144" s="5" customFormat="1" ht="15.75" customHeight="1" x14ac:dyDescent="0.25"/>
    <row r="145" s="5" customFormat="1" ht="15.75" customHeight="1" x14ac:dyDescent="0.25"/>
    <row r="146" s="5" customFormat="1" ht="15.75" customHeight="1" x14ac:dyDescent="0.25"/>
    <row r="147" s="5" customFormat="1" ht="15.75" customHeight="1" x14ac:dyDescent="0.25"/>
    <row r="148" s="5" customFormat="1" ht="15.75" customHeight="1" x14ac:dyDescent="0.25"/>
    <row r="149" s="5" customFormat="1" ht="15.75" customHeight="1" x14ac:dyDescent="0.25"/>
    <row r="150" s="5" customFormat="1" ht="15.75" customHeight="1" x14ac:dyDescent="0.25"/>
    <row r="151" s="5" customFormat="1" ht="15.75" customHeight="1" x14ac:dyDescent="0.25"/>
    <row r="152" s="5" customFormat="1" ht="15.75" customHeight="1" x14ac:dyDescent="0.25"/>
    <row r="153" s="5" customFormat="1" ht="15.75" customHeight="1" x14ac:dyDescent="0.25"/>
    <row r="154" s="5" customFormat="1" ht="15.75" customHeight="1" x14ac:dyDescent="0.25"/>
    <row r="155" s="5" customFormat="1" ht="15.75" customHeight="1" x14ac:dyDescent="0.25"/>
    <row r="156" s="5" customFormat="1" ht="15.75" customHeight="1" x14ac:dyDescent="0.25"/>
    <row r="157" s="5" customFormat="1" ht="15.75" customHeight="1" x14ac:dyDescent="0.25"/>
    <row r="158" s="5" customFormat="1" ht="15.75" customHeight="1" x14ac:dyDescent="0.25"/>
    <row r="159" s="5" customFormat="1" ht="15.75" customHeight="1" x14ac:dyDescent="0.25"/>
    <row r="160" s="5" customFormat="1" ht="15.75" customHeight="1" x14ac:dyDescent="0.25"/>
    <row r="161" s="5" customFormat="1" ht="15.75" customHeight="1" x14ac:dyDescent="0.25"/>
    <row r="162" s="5" customFormat="1" ht="15.75" customHeight="1" x14ac:dyDescent="0.25"/>
    <row r="163" s="5" customFormat="1" ht="15.75" customHeight="1" x14ac:dyDescent="0.25"/>
    <row r="164" s="5" customFormat="1" ht="15.75" customHeight="1" x14ac:dyDescent="0.25"/>
    <row r="165" s="5" customFormat="1" ht="15.75" customHeight="1" x14ac:dyDescent="0.25"/>
    <row r="166" s="5" customFormat="1" ht="15.75" customHeight="1" x14ac:dyDescent="0.25"/>
    <row r="167" s="5" customFormat="1" ht="15.75" customHeight="1" x14ac:dyDescent="0.25"/>
    <row r="168" s="5" customFormat="1" ht="15.75" customHeight="1" x14ac:dyDescent="0.25"/>
    <row r="169" s="5" customFormat="1" ht="15.75" customHeight="1" x14ac:dyDescent="0.25"/>
    <row r="170" s="5" customFormat="1" ht="15.75" customHeight="1" x14ac:dyDescent="0.25"/>
    <row r="171" s="5" customFormat="1" ht="15.75" customHeight="1" x14ac:dyDescent="0.25"/>
    <row r="172" s="5" customFormat="1" ht="15.75" customHeight="1" x14ac:dyDescent="0.25"/>
    <row r="173" s="5" customFormat="1" ht="15.75" customHeight="1" x14ac:dyDescent="0.25"/>
    <row r="174" s="5" customFormat="1" ht="15.75" customHeight="1" x14ac:dyDescent="0.25"/>
    <row r="175" s="5" customFormat="1" ht="15.75" customHeight="1" x14ac:dyDescent="0.25"/>
    <row r="176" s="5" customFormat="1" ht="15.75" customHeight="1" x14ac:dyDescent="0.25"/>
    <row r="177" s="5" customFormat="1" ht="15.75" customHeight="1" x14ac:dyDescent="0.25"/>
    <row r="178" s="5" customFormat="1" ht="15.75" customHeight="1" x14ac:dyDescent="0.25"/>
    <row r="179" s="5" customFormat="1" ht="15.75" customHeight="1" x14ac:dyDescent="0.25"/>
    <row r="180" s="5" customFormat="1" ht="15.75" customHeight="1" x14ac:dyDescent="0.25"/>
    <row r="181" s="5" customFormat="1" ht="15.75" customHeight="1" x14ac:dyDescent="0.25"/>
    <row r="182" s="5" customFormat="1" ht="15.75" customHeight="1" x14ac:dyDescent="0.25"/>
    <row r="183" s="5" customFormat="1" ht="15.75" customHeight="1" x14ac:dyDescent="0.25"/>
    <row r="184" s="5" customFormat="1" ht="15.75" customHeight="1" x14ac:dyDescent="0.25"/>
    <row r="185" s="5" customFormat="1" ht="15.75" customHeight="1" x14ac:dyDescent="0.25"/>
    <row r="186" s="5" customFormat="1" ht="15.75" customHeight="1" x14ac:dyDescent="0.25"/>
    <row r="187" s="5" customFormat="1" ht="15.75" customHeight="1" x14ac:dyDescent="0.25"/>
    <row r="188" s="5" customFormat="1" ht="15.75" customHeight="1" x14ac:dyDescent="0.25"/>
    <row r="189" s="5" customFormat="1" ht="15.75" customHeight="1" x14ac:dyDescent="0.25"/>
    <row r="190" s="5" customFormat="1" ht="15.75" customHeight="1" x14ac:dyDescent="0.25"/>
    <row r="191" s="5" customFormat="1" ht="15.75" customHeight="1" x14ac:dyDescent="0.25"/>
    <row r="192" s="5" customFormat="1" ht="15.75" customHeight="1" x14ac:dyDescent="0.25"/>
    <row r="193" s="5" customFormat="1" ht="15.75" customHeight="1" x14ac:dyDescent="0.25"/>
    <row r="194" s="5" customFormat="1" ht="15.75" customHeight="1" x14ac:dyDescent="0.25"/>
    <row r="195" s="5" customFormat="1" ht="15.75" customHeight="1" x14ac:dyDescent="0.25"/>
    <row r="196" s="5" customFormat="1" ht="15.75" customHeight="1" x14ac:dyDescent="0.25"/>
    <row r="197" s="5" customFormat="1" ht="15.75" customHeight="1" x14ac:dyDescent="0.25"/>
    <row r="198" s="5" customFormat="1" ht="15.75" customHeight="1" x14ac:dyDescent="0.25"/>
    <row r="199" s="5" customFormat="1" ht="15.75" customHeight="1" x14ac:dyDescent="0.25"/>
    <row r="200" s="5" customFormat="1" ht="15.75" customHeight="1" x14ac:dyDescent="0.25"/>
    <row r="201" s="5" customFormat="1" ht="15.75" customHeight="1" x14ac:dyDescent="0.25"/>
    <row r="202" s="5" customFormat="1" ht="15.75" customHeight="1" x14ac:dyDescent="0.25"/>
    <row r="203" s="5" customFormat="1" ht="15.75" customHeight="1" x14ac:dyDescent="0.25"/>
    <row r="204" s="5" customFormat="1" ht="15.75" customHeight="1" x14ac:dyDescent="0.25"/>
    <row r="205" s="5" customFormat="1" ht="15.75" customHeight="1" x14ac:dyDescent="0.25"/>
    <row r="206" s="5" customFormat="1" ht="15.75" customHeight="1" x14ac:dyDescent="0.25"/>
    <row r="207" s="5" customFormat="1" ht="15.75" customHeight="1" x14ac:dyDescent="0.25"/>
    <row r="208" s="5" customFormat="1" ht="15.75" customHeight="1" x14ac:dyDescent="0.25"/>
    <row r="209" s="5" customFormat="1" ht="15.75" customHeight="1" x14ac:dyDescent="0.25"/>
    <row r="210" s="5" customFormat="1" ht="15.75" customHeight="1" x14ac:dyDescent="0.25"/>
    <row r="211" s="5" customFormat="1" ht="15.75" customHeight="1" x14ac:dyDescent="0.25"/>
    <row r="212" s="5" customFormat="1" ht="15.75" customHeight="1" x14ac:dyDescent="0.25"/>
    <row r="213" s="5" customFormat="1" ht="15.75" customHeight="1" x14ac:dyDescent="0.25"/>
    <row r="214" s="5" customFormat="1" ht="15.75" customHeight="1" x14ac:dyDescent="0.25"/>
    <row r="215" s="5" customFormat="1" ht="15.75" customHeight="1" x14ac:dyDescent="0.25"/>
    <row r="216" s="5" customFormat="1" ht="15.75" customHeight="1" x14ac:dyDescent="0.25"/>
    <row r="217" s="5" customFormat="1" ht="15.75" customHeight="1" x14ac:dyDescent="0.25"/>
    <row r="218" s="5" customFormat="1" ht="15.75" customHeight="1" x14ac:dyDescent="0.25"/>
    <row r="219" s="5" customFormat="1" ht="15.75" customHeight="1" x14ac:dyDescent="0.25"/>
    <row r="220" s="5" customFormat="1" ht="15.75" customHeight="1" x14ac:dyDescent="0.25"/>
    <row r="221" s="5" customFormat="1" ht="15.75" customHeight="1" x14ac:dyDescent="0.25"/>
    <row r="222" s="5" customFormat="1" ht="15.75" customHeight="1" x14ac:dyDescent="0.25"/>
    <row r="223" s="5" customFormat="1" ht="15.75" customHeight="1" x14ac:dyDescent="0.25"/>
    <row r="224" s="5" customFormat="1" ht="15.75" customHeight="1" x14ac:dyDescent="0.25"/>
    <row r="225" s="5" customFormat="1" ht="15.75" customHeight="1" x14ac:dyDescent="0.25"/>
    <row r="226" s="5" customFormat="1" ht="15.75" customHeight="1" x14ac:dyDescent="0.25"/>
    <row r="227" s="5" customFormat="1" ht="15.75" customHeight="1" x14ac:dyDescent="0.25"/>
    <row r="228" s="5" customFormat="1" ht="15.75" customHeight="1" x14ac:dyDescent="0.25"/>
    <row r="229" s="5" customFormat="1" ht="15.75" customHeight="1" x14ac:dyDescent="0.25"/>
    <row r="230" s="5" customFormat="1" ht="15.75" customHeight="1" x14ac:dyDescent="0.25"/>
    <row r="231" s="5" customFormat="1" ht="15.75" customHeight="1" x14ac:dyDescent="0.25"/>
    <row r="232" s="5" customFormat="1" ht="15.75" customHeight="1" x14ac:dyDescent="0.25"/>
    <row r="233" s="5" customFormat="1" ht="15.75" customHeight="1" x14ac:dyDescent="0.25"/>
    <row r="234" s="5" customFormat="1" ht="15.75" customHeight="1" x14ac:dyDescent="0.25"/>
    <row r="235" s="5" customFormat="1" ht="15.75" customHeight="1" x14ac:dyDescent="0.25"/>
    <row r="236" s="5" customFormat="1" ht="15.75" customHeight="1" x14ac:dyDescent="0.25"/>
    <row r="237" s="5" customFormat="1" ht="15.75" customHeight="1" x14ac:dyDescent="0.25"/>
    <row r="238" s="5" customFormat="1" ht="15.75" customHeight="1" x14ac:dyDescent="0.25"/>
    <row r="239" s="5" customFormat="1" ht="15.75" customHeight="1" x14ac:dyDescent="0.25"/>
    <row r="240" s="5" customFormat="1" ht="15.75" customHeight="1" x14ac:dyDescent="0.25"/>
    <row r="241" s="5" customFormat="1" ht="15.75" customHeight="1" x14ac:dyDescent="0.25"/>
    <row r="242" s="5" customFormat="1" ht="15.75" customHeight="1" x14ac:dyDescent="0.25"/>
    <row r="243" s="5" customFormat="1" ht="15.75" customHeight="1" x14ac:dyDescent="0.25"/>
    <row r="244" s="5" customFormat="1" ht="15.75" customHeight="1" x14ac:dyDescent="0.25"/>
    <row r="245" s="5" customFormat="1" ht="15.75" customHeight="1" x14ac:dyDescent="0.25"/>
    <row r="246" s="5" customFormat="1" ht="15.75" customHeight="1" x14ac:dyDescent="0.25"/>
    <row r="247" s="5" customFormat="1" ht="15.75" customHeight="1" x14ac:dyDescent="0.25"/>
    <row r="248" s="5" customFormat="1" ht="15.75" customHeight="1" x14ac:dyDescent="0.25"/>
    <row r="249" s="5" customFormat="1" ht="15.75" customHeight="1" x14ac:dyDescent="0.25"/>
    <row r="250" s="5" customFormat="1" ht="15.75" customHeight="1" x14ac:dyDescent="0.25"/>
    <row r="251" s="5" customFormat="1" ht="15.75" customHeight="1" x14ac:dyDescent="0.25"/>
    <row r="252" s="5" customFormat="1" ht="15.75" customHeight="1" x14ac:dyDescent="0.25"/>
    <row r="253" s="5" customFormat="1" ht="15.75" customHeight="1" x14ac:dyDescent="0.25"/>
    <row r="254" s="5" customFormat="1" ht="15.75" customHeight="1" x14ac:dyDescent="0.25"/>
    <row r="255" s="5" customFormat="1" ht="15.75" customHeight="1" x14ac:dyDescent="0.25"/>
    <row r="256" s="5" customFormat="1" ht="15.75" customHeight="1" x14ac:dyDescent="0.25"/>
    <row r="257" s="5" customFormat="1" ht="15.75" customHeight="1" x14ac:dyDescent="0.25"/>
    <row r="258" s="5" customFormat="1" ht="15.75" customHeight="1" x14ac:dyDescent="0.25"/>
    <row r="259" s="5" customFormat="1" ht="15.75" customHeight="1" x14ac:dyDescent="0.25"/>
    <row r="260" s="5" customFormat="1" ht="15.75" customHeight="1" x14ac:dyDescent="0.25"/>
    <row r="261" s="5" customFormat="1" ht="15.75" customHeight="1" x14ac:dyDescent="0.25"/>
    <row r="262" s="5" customFormat="1" ht="15.75" customHeight="1" x14ac:dyDescent="0.25"/>
    <row r="263" s="5" customFormat="1" ht="15.75" customHeight="1" x14ac:dyDescent="0.25"/>
    <row r="264" s="5" customFormat="1" ht="15.75" customHeight="1" x14ac:dyDescent="0.25"/>
    <row r="265" s="5" customFormat="1" ht="15.75" customHeight="1" x14ac:dyDescent="0.25"/>
    <row r="266" s="5" customFormat="1" ht="15.75" customHeight="1" x14ac:dyDescent="0.25"/>
    <row r="267" s="5" customFormat="1" ht="15.75" customHeight="1" x14ac:dyDescent="0.25"/>
    <row r="268" s="5" customFormat="1" ht="15.75" customHeight="1" x14ac:dyDescent="0.25"/>
    <row r="269" s="5" customFormat="1" ht="15.75" customHeight="1" x14ac:dyDescent="0.25"/>
    <row r="270" s="5" customFormat="1" ht="15.75" customHeight="1" x14ac:dyDescent="0.25"/>
    <row r="271" s="5" customFormat="1" ht="15.75" customHeight="1" x14ac:dyDescent="0.25"/>
    <row r="272" s="5" customFormat="1" ht="15.75" customHeight="1" x14ac:dyDescent="0.25"/>
    <row r="273" s="5" customFormat="1" ht="15.75" customHeight="1" x14ac:dyDescent="0.25"/>
    <row r="274" s="5" customFormat="1" ht="15.75" customHeight="1" x14ac:dyDescent="0.25"/>
    <row r="275" s="5" customFormat="1" ht="15.75" customHeight="1" x14ac:dyDescent="0.25"/>
    <row r="276" s="5" customFormat="1" ht="15.75" customHeight="1" x14ac:dyDescent="0.25"/>
    <row r="277" s="5" customFormat="1" ht="15.75" customHeight="1" x14ac:dyDescent="0.25"/>
    <row r="278" s="5" customFormat="1" ht="15.75" customHeight="1" x14ac:dyDescent="0.25"/>
    <row r="279" s="5" customFormat="1" ht="15.75" customHeight="1" x14ac:dyDescent="0.25"/>
    <row r="280" s="5" customFormat="1" ht="15.75" customHeight="1" x14ac:dyDescent="0.25"/>
    <row r="281" s="5" customFormat="1" ht="15.75" customHeight="1" x14ac:dyDescent="0.25"/>
    <row r="282" s="5" customFormat="1" ht="15.75" customHeight="1" x14ac:dyDescent="0.25"/>
    <row r="283" s="5" customFormat="1" ht="15.75" customHeight="1" x14ac:dyDescent="0.25"/>
    <row r="284" s="5" customFormat="1" ht="15.75" customHeight="1" x14ac:dyDescent="0.25"/>
    <row r="285" s="5" customFormat="1" ht="15.75" customHeight="1" x14ac:dyDescent="0.25"/>
    <row r="286" s="5" customFormat="1" ht="15.75" customHeight="1" x14ac:dyDescent="0.25"/>
    <row r="287" s="5" customFormat="1" ht="15.75" customHeight="1" x14ac:dyDescent="0.25"/>
    <row r="288" s="5" customFormat="1" ht="15.75" customHeight="1" x14ac:dyDescent="0.25"/>
    <row r="289" s="5" customFormat="1" ht="15.75" customHeight="1" x14ac:dyDescent="0.25"/>
    <row r="290" s="5" customFormat="1" ht="15.75" customHeight="1" x14ac:dyDescent="0.25"/>
    <row r="291" s="5" customFormat="1" ht="15.75" customHeight="1" x14ac:dyDescent="0.25"/>
    <row r="292" s="5" customFormat="1" ht="15.75" customHeight="1" x14ac:dyDescent="0.25"/>
    <row r="293" s="5" customFormat="1" ht="15.75" customHeight="1" x14ac:dyDescent="0.25"/>
    <row r="294" s="5" customFormat="1" ht="15.75" customHeight="1" x14ac:dyDescent="0.25"/>
    <row r="295" s="5" customFormat="1" ht="15.75" customHeight="1" x14ac:dyDescent="0.25"/>
    <row r="296" s="5" customFormat="1" ht="15.75" customHeight="1" x14ac:dyDescent="0.25"/>
    <row r="297" s="5" customFormat="1" ht="15.75" customHeight="1" x14ac:dyDescent="0.25"/>
    <row r="298" s="5" customFormat="1" ht="15.75" customHeight="1" x14ac:dyDescent="0.25"/>
    <row r="299" s="5" customFormat="1" ht="15.75" customHeight="1" x14ac:dyDescent="0.25"/>
    <row r="300" s="5" customFormat="1" ht="15.75" customHeight="1" x14ac:dyDescent="0.25"/>
    <row r="301" s="5" customFormat="1" ht="15.75" customHeight="1" x14ac:dyDescent="0.25"/>
    <row r="302" s="5" customFormat="1" ht="15.75" customHeight="1" x14ac:dyDescent="0.25"/>
    <row r="303" s="5" customFormat="1" ht="15.75" customHeight="1" x14ac:dyDescent="0.25"/>
    <row r="304" s="5" customFormat="1" ht="15.75" customHeight="1" x14ac:dyDescent="0.25"/>
    <row r="305" s="5" customFormat="1" ht="15.75" customHeight="1" x14ac:dyDescent="0.25"/>
    <row r="306" s="5" customFormat="1" ht="15.75" customHeight="1" x14ac:dyDescent="0.25"/>
    <row r="307" s="5" customFormat="1" ht="15.75" customHeight="1" x14ac:dyDescent="0.25"/>
    <row r="308" s="5" customFormat="1" ht="15.75" customHeight="1" x14ac:dyDescent="0.25"/>
    <row r="309" s="5" customFormat="1" ht="15.75" customHeight="1" x14ac:dyDescent="0.25"/>
    <row r="310" s="5" customFormat="1" ht="15.75" customHeight="1" x14ac:dyDescent="0.25"/>
    <row r="311" s="5" customFormat="1" ht="15.75" customHeight="1" x14ac:dyDescent="0.25"/>
    <row r="312" s="5" customFormat="1" ht="15.75" customHeight="1" x14ac:dyDescent="0.25"/>
    <row r="313" s="5" customFormat="1" ht="15.75" customHeight="1" x14ac:dyDescent="0.25"/>
    <row r="314" s="5" customFormat="1" ht="15.75" customHeight="1" x14ac:dyDescent="0.25"/>
    <row r="315" s="5" customFormat="1" ht="15.75" customHeight="1" x14ac:dyDescent="0.25"/>
    <row r="316" s="5" customFormat="1" ht="15.75" customHeight="1" x14ac:dyDescent="0.25"/>
    <row r="317" s="5" customFormat="1" ht="15.75" customHeight="1" x14ac:dyDescent="0.25"/>
    <row r="318" s="5" customFormat="1" ht="15.75" customHeight="1" x14ac:dyDescent="0.25"/>
    <row r="319" s="5" customFormat="1" ht="15.75" customHeight="1" x14ac:dyDescent="0.25"/>
    <row r="320" s="5" customFormat="1" ht="15.75" customHeight="1" x14ac:dyDescent="0.25"/>
    <row r="321" s="5" customFormat="1" ht="15.75" customHeight="1" x14ac:dyDescent="0.25"/>
    <row r="322" s="5" customFormat="1" ht="15.75" customHeight="1" x14ac:dyDescent="0.25"/>
    <row r="323" s="5" customFormat="1" ht="15.75" customHeight="1" x14ac:dyDescent="0.25"/>
    <row r="324" s="5" customFormat="1" ht="15.75" customHeight="1" x14ac:dyDescent="0.25"/>
    <row r="325" s="5" customFormat="1" ht="15.75" customHeight="1" x14ac:dyDescent="0.25"/>
    <row r="326" s="5" customFormat="1" ht="15.75" customHeight="1" x14ac:dyDescent="0.25"/>
    <row r="327" s="5" customFormat="1" ht="15.75" customHeight="1" x14ac:dyDescent="0.25"/>
    <row r="328" s="5" customFormat="1" ht="15.75" customHeight="1" x14ac:dyDescent="0.25"/>
    <row r="329" s="5" customFormat="1" ht="15.75" customHeight="1" x14ac:dyDescent="0.25"/>
    <row r="330" s="5" customFormat="1" ht="15.75" customHeight="1" x14ac:dyDescent="0.25"/>
    <row r="331" s="5" customFormat="1" ht="15.75" customHeight="1" x14ac:dyDescent="0.25"/>
    <row r="332" s="5" customFormat="1" ht="15.75" customHeight="1" x14ac:dyDescent="0.25"/>
    <row r="333" s="5" customFormat="1" ht="15.75" customHeight="1" x14ac:dyDescent="0.25"/>
    <row r="334" s="5" customFormat="1" ht="15.75" customHeight="1" x14ac:dyDescent="0.25"/>
    <row r="335" s="5" customFormat="1" ht="15.75" customHeight="1" x14ac:dyDescent="0.25"/>
    <row r="336" s="5" customFormat="1" ht="15.75" customHeight="1" x14ac:dyDescent="0.25"/>
    <row r="337" s="5" customFormat="1" ht="15.75" customHeight="1" x14ac:dyDescent="0.25"/>
    <row r="338" s="5" customFormat="1" ht="15.75" customHeight="1" x14ac:dyDescent="0.25"/>
    <row r="339" s="5" customFormat="1" ht="15.75" customHeight="1" x14ac:dyDescent="0.25"/>
    <row r="340" s="5" customFormat="1" ht="15.75" customHeight="1" x14ac:dyDescent="0.25"/>
    <row r="341" s="5" customFormat="1" ht="15.75" customHeight="1" x14ac:dyDescent="0.25"/>
    <row r="342" s="5" customFormat="1" ht="15.75" customHeight="1" x14ac:dyDescent="0.25"/>
    <row r="343" s="5" customFormat="1" ht="15.75" customHeight="1" x14ac:dyDescent="0.25"/>
    <row r="344" s="5" customFormat="1" ht="15.75" customHeight="1" x14ac:dyDescent="0.25"/>
    <row r="345" s="5" customFormat="1" ht="15.75" customHeight="1" x14ac:dyDescent="0.25"/>
    <row r="346" s="5" customFormat="1" ht="15.75" customHeight="1" x14ac:dyDescent="0.25"/>
    <row r="347" s="5" customFormat="1" ht="15.75" customHeight="1" x14ac:dyDescent="0.25"/>
    <row r="348" s="5" customFormat="1" ht="15.75" customHeight="1" x14ac:dyDescent="0.25"/>
    <row r="349" s="5" customFormat="1" ht="15.75" customHeight="1" x14ac:dyDescent="0.25"/>
    <row r="350" s="5" customFormat="1" ht="15.75" customHeight="1" x14ac:dyDescent="0.25"/>
    <row r="351" s="5" customFormat="1" ht="15.75" customHeight="1" x14ac:dyDescent="0.25"/>
    <row r="352" s="5" customFormat="1" ht="15.75" customHeight="1" x14ac:dyDescent="0.25"/>
    <row r="353" s="5" customFormat="1" ht="15.75" customHeight="1" x14ac:dyDescent="0.25"/>
    <row r="354" s="5" customFormat="1" ht="15.75" customHeight="1" x14ac:dyDescent="0.25"/>
    <row r="355" s="5" customFormat="1" ht="15.75" customHeight="1" x14ac:dyDescent="0.25"/>
    <row r="356" s="5" customFormat="1" ht="15.75" customHeight="1" x14ac:dyDescent="0.25"/>
    <row r="357" s="5" customFormat="1" ht="15.75" customHeight="1" x14ac:dyDescent="0.25"/>
    <row r="358" s="5" customFormat="1" ht="15.75" customHeight="1" x14ac:dyDescent="0.25"/>
    <row r="359" s="5" customFormat="1" ht="15.75" customHeight="1" x14ac:dyDescent="0.25"/>
    <row r="360" s="5" customFormat="1" ht="15.75" customHeight="1" x14ac:dyDescent="0.25"/>
    <row r="361" s="5" customFormat="1" ht="15.75" customHeight="1" x14ac:dyDescent="0.25"/>
    <row r="362" s="5" customFormat="1" ht="15.75" customHeight="1" x14ac:dyDescent="0.25"/>
    <row r="363" s="5" customFormat="1" ht="15.75" customHeight="1" x14ac:dyDescent="0.25"/>
    <row r="364" s="5" customFormat="1" ht="15.75" customHeight="1" x14ac:dyDescent="0.25"/>
    <row r="365" s="5" customFormat="1" ht="15.75" customHeight="1" x14ac:dyDescent="0.25"/>
    <row r="366" s="5" customFormat="1" ht="15.75" customHeight="1" x14ac:dyDescent="0.25"/>
    <row r="367" s="5" customFormat="1" ht="15.75" customHeight="1" x14ac:dyDescent="0.25"/>
    <row r="368" s="5" customFormat="1" ht="15.75" customHeight="1" x14ac:dyDescent="0.25"/>
    <row r="369" s="5" customFormat="1" ht="15.75" customHeight="1" x14ac:dyDescent="0.25"/>
    <row r="370" s="5" customFormat="1" ht="15.75" customHeight="1" x14ac:dyDescent="0.25"/>
    <row r="371" s="5" customFormat="1" ht="15.75" customHeight="1" x14ac:dyDescent="0.25"/>
    <row r="372" s="5" customFormat="1" ht="15.75" customHeight="1" x14ac:dyDescent="0.25"/>
    <row r="373" s="5" customFormat="1" ht="15.75" customHeight="1" x14ac:dyDescent="0.25"/>
    <row r="374" s="5" customFormat="1" ht="15.75" customHeight="1" x14ac:dyDescent="0.25"/>
    <row r="375" s="5" customFormat="1" ht="15.75" customHeight="1" x14ac:dyDescent="0.25"/>
    <row r="376" s="5" customFormat="1" ht="15.75" customHeight="1" x14ac:dyDescent="0.25"/>
    <row r="377" s="5" customFormat="1" ht="15.75" customHeight="1" x14ac:dyDescent="0.25"/>
    <row r="378" s="5" customFormat="1" ht="15.75" customHeight="1" x14ac:dyDescent="0.25"/>
    <row r="379" s="5" customFormat="1" ht="15.75" customHeight="1" x14ac:dyDescent="0.25"/>
    <row r="380" s="5" customFormat="1" ht="15.75" customHeight="1" x14ac:dyDescent="0.25"/>
    <row r="381" s="5" customFormat="1" ht="15.75" customHeight="1" x14ac:dyDescent="0.25"/>
    <row r="382" s="5" customFormat="1" ht="15.75" customHeight="1" x14ac:dyDescent="0.25"/>
    <row r="383" s="5" customFormat="1" ht="15.75" customHeight="1" x14ac:dyDescent="0.25"/>
    <row r="384" s="5" customFormat="1" ht="15.75" customHeight="1" x14ac:dyDescent="0.25"/>
    <row r="385" s="5" customFormat="1" ht="15.75" customHeight="1" x14ac:dyDescent="0.25"/>
    <row r="386" s="5" customFormat="1" ht="15.75" customHeight="1" x14ac:dyDescent="0.25"/>
    <row r="387" s="5" customFormat="1" ht="15.75" customHeight="1" x14ac:dyDescent="0.25"/>
    <row r="388" s="5" customFormat="1" ht="15.75" customHeight="1" x14ac:dyDescent="0.25"/>
    <row r="389" s="5" customFormat="1" ht="15.75" customHeight="1" x14ac:dyDescent="0.25"/>
    <row r="390" s="5" customFormat="1" ht="15.75" customHeight="1" x14ac:dyDescent="0.25"/>
    <row r="391" s="5" customFormat="1" ht="15.75" customHeight="1" x14ac:dyDescent="0.25"/>
    <row r="392" s="5" customFormat="1" ht="15.75" customHeight="1" x14ac:dyDescent="0.25"/>
    <row r="393" s="5" customFormat="1" ht="15.75" customHeight="1" x14ac:dyDescent="0.25"/>
    <row r="394" s="5" customFormat="1" ht="15.75" customHeight="1" x14ac:dyDescent="0.25"/>
    <row r="395" s="5" customFormat="1" ht="15.75" customHeight="1" x14ac:dyDescent="0.25"/>
    <row r="396" s="5" customFormat="1" ht="15.75" customHeight="1" x14ac:dyDescent="0.25"/>
    <row r="397" s="5" customFormat="1" ht="15.75" customHeight="1" x14ac:dyDescent="0.25"/>
    <row r="398" s="5" customFormat="1" ht="15.75" customHeight="1" x14ac:dyDescent="0.25"/>
    <row r="399" s="5" customFormat="1" ht="15.75" customHeight="1" x14ac:dyDescent="0.25"/>
    <row r="400" s="5" customFormat="1" ht="15.75" customHeight="1" x14ac:dyDescent="0.25"/>
    <row r="401" s="5" customFormat="1" ht="15.75" customHeight="1" x14ac:dyDescent="0.25"/>
    <row r="402" s="5" customFormat="1" ht="15.75" customHeight="1" x14ac:dyDescent="0.25"/>
    <row r="403" s="5" customFormat="1" ht="15.75" customHeight="1" x14ac:dyDescent="0.25"/>
    <row r="404" s="5" customFormat="1" ht="15.75" customHeight="1" x14ac:dyDescent="0.25"/>
    <row r="405" s="5" customFormat="1" ht="15.75" customHeight="1" x14ac:dyDescent="0.25"/>
    <row r="406" s="5" customFormat="1" ht="15.75" customHeight="1" x14ac:dyDescent="0.25"/>
    <row r="407" s="5" customFormat="1" ht="15.75" customHeight="1" x14ac:dyDescent="0.25"/>
    <row r="408" s="5" customFormat="1" ht="15.75" customHeight="1" x14ac:dyDescent="0.25"/>
    <row r="409" s="5" customFormat="1" ht="15.75" customHeight="1" x14ac:dyDescent="0.25"/>
    <row r="410" s="5" customFormat="1" ht="15.75" customHeight="1" x14ac:dyDescent="0.25"/>
    <row r="411" s="5" customFormat="1" ht="15.75" customHeight="1" x14ac:dyDescent="0.25"/>
    <row r="412" s="5" customFormat="1" ht="15.75" customHeight="1" x14ac:dyDescent="0.25"/>
    <row r="413" s="5" customFormat="1" ht="15.75" customHeight="1" x14ac:dyDescent="0.25"/>
    <row r="414" s="5" customFormat="1" ht="15.75" customHeight="1" x14ac:dyDescent="0.25"/>
    <row r="415" s="5" customFormat="1" ht="15.75" customHeight="1" x14ac:dyDescent="0.25"/>
    <row r="416" s="5" customFormat="1" ht="15.75" customHeight="1" x14ac:dyDescent="0.25"/>
    <row r="417" s="5" customFormat="1" ht="15.75" customHeight="1" x14ac:dyDescent="0.25"/>
    <row r="418" s="5" customFormat="1" ht="15.75" customHeight="1" x14ac:dyDescent="0.25"/>
    <row r="419" s="5" customFormat="1" ht="15.75" customHeight="1" x14ac:dyDescent="0.25"/>
    <row r="420" s="5" customFormat="1" ht="15.75" customHeight="1" x14ac:dyDescent="0.25"/>
    <row r="421" s="5" customFormat="1" ht="15.75" customHeight="1" x14ac:dyDescent="0.25"/>
    <row r="422" s="5" customFormat="1" ht="15.75" customHeight="1" x14ac:dyDescent="0.25"/>
    <row r="423" s="5" customFormat="1" ht="15.75" customHeight="1" x14ac:dyDescent="0.25"/>
    <row r="424" s="5" customFormat="1" ht="15.75" customHeight="1" x14ac:dyDescent="0.25"/>
    <row r="425" s="5" customFormat="1" ht="15.75" customHeight="1" x14ac:dyDescent="0.25"/>
    <row r="426" s="5" customFormat="1" ht="15.75" customHeight="1" x14ac:dyDescent="0.25"/>
    <row r="427" s="5" customFormat="1" ht="15.75" customHeight="1" x14ac:dyDescent="0.25"/>
    <row r="428" s="5" customFormat="1" ht="15.75" customHeight="1" x14ac:dyDescent="0.25"/>
    <row r="429" s="5" customFormat="1" ht="15.75" customHeight="1" x14ac:dyDescent="0.25"/>
    <row r="430" s="5" customFormat="1" ht="15.75" customHeight="1" x14ac:dyDescent="0.25"/>
    <row r="431" s="5" customFormat="1" ht="15.75" customHeight="1" x14ac:dyDescent="0.25"/>
    <row r="432" s="5" customFormat="1" ht="15.75" customHeight="1" x14ac:dyDescent="0.25"/>
    <row r="433" s="5" customFormat="1" ht="15.75" customHeight="1" x14ac:dyDescent="0.25"/>
    <row r="434" s="5" customFormat="1" ht="15.75" customHeight="1" x14ac:dyDescent="0.25"/>
    <row r="435" s="5" customFormat="1" ht="15.75" customHeight="1" x14ac:dyDescent="0.25"/>
    <row r="436" s="5" customFormat="1" ht="15.75" customHeight="1" x14ac:dyDescent="0.25"/>
    <row r="437" s="5" customFormat="1" ht="15.75" customHeight="1" x14ac:dyDescent="0.25"/>
    <row r="438" s="5" customFormat="1" ht="15.75" customHeight="1" x14ac:dyDescent="0.25"/>
    <row r="439" s="5" customFormat="1" ht="15.75" customHeight="1" x14ac:dyDescent="0.25"/>
    <row r="440" s="5" customFormat="1" ht="15.75" customHeight="1" x14ac:dyDescent="0.25"/>
    <row r="441" s="5" customFormat="1" ht="15.75" customHeight="1" x14ac:dyDescent="0.25"/>
    <row r="442" s="5" customFormat="1" ht="15.75" customHeight="1" x14ac:dyDescent="0.25"/>
    <row r="443" s="5" customFormat="1" ht="15.75" customHeight="1" x14ac:dyDescent="0.25"/>
    <row r="444" s="5" customFormat="1" ht="15.75" customHeight="1" x14ac:dyDescent="0.25"/>
    <row r="445" s="5" customFormat="1" ht="15.75" customHeight="1" x14ac:dyDescent="0.25"/>
    <row r="446" s="5" customFormat="1" ht="15.75" customHeight="1" x14ac:dyDescent="0.25"/>
    <row r="447" s="5" customFormat="1" ht="15.75" customHeight="1" x14ac:dyDescent="0.25"/>
    <row r="448" s="5" customFormat="1" ht="15.75" customHeight="1" x14ac:dyDescent="0.25"/>
    <row r="449" s="5" customFormat="1" ht="15.75" customHeight="1" x14ac:dyDescent="0.25"/>
    <row r="450" s="5" customFormat="1" ht="15.75" customHeight="1" x14ac:dyDescent="0.25"/>
    <row r="451" s="5" customFormat="1" ht="15.75" customHeight="1" x14ac:dyDescent="0.25"/>
    <row r="452" s="5" customFormat="1" ht="15.75" customHeight="1" x14ac:dyDescent="0.25"/>
    <row r="453" s="5" customFormat="1" ht="15.75" customHeight="1" x14ac:dyDescent="0.25"/>
    <row r="454" s="5" customFormat="1" ht="15.75" customHeight="1" x14ac:dyDescent="0.25"/>
    <row r="455" s="5" customFormat="1" ht="15.75" customHeight="1" x14ac:dyDescent="0.25"/>
    <row r="456" s="5" customFormat="1" ht="15.75" customHeight="1" x14ac:dyDescent="0.25"/>
    <row r="457" s="5" customFormat="1" ht="15.75" customHeight="1" x14ac:dyDescent="0.25"/>
    <row r="458" s="5" customFormat="1" ht="15.75" customHeight="1" x14ac:dyDescent="0.25"/>
    <row r="459" s="5" customFormat="1" ht="15.75" customHeight="1" x14ac:dyDescent="0.25"/>
    <row r="460" s="5" customFormat="1" ht="15.75" customHeight="1" x14ac:dyDescent="0.25"/>
    <row r="461" s="5" customFormat="1" ht="15.75" customHeight="1" x14ac:dyDescent="0.25"/>
    <row r="462" s="5" customFormat="1" ht="15.75" customHeight="1" x14ac:dyDescent="0.25"/>
    <row r="463" s="5" customFormat="1" ht="15.75" customHeight="1" x14ac:dyDescent="0.25"/>
    <row r="464" s="5" customFormat="1" ht="15.75" customHeight="1" x14ac:dyDescent="0.25"/>
    <row r="465" s="5" customFormat="1" ht="15.75" customHeight="1" x14ac:dyDescent="0.25"/>
    <row r="466" s="5" customFormat="1" ht="15.75" customHeight="1" x14ac:dyDescent="0.25"/>
    <row r="467" s="5" customFormat="1" ht="15.75" customHeight="1" x14ac:dyDescent="0.25"/>
    <row r="468" s="5" customFormat="1" ht="15.75" customHeight="1" x14ac:dyDescent="0.25"/>
    <row r="469" s="5" customFormat="1" ht="15.75" customHeight="1" x14ac:dyDescent="0.25"/>
    <row r="470" s="5" customFormat="1" ht="15.75" customHeight="1" x14ac:dyDescent="0.25"/>
    <row r="471" s="5" customFormat="1" ht="15.75" customHeight="1" x14ac:dyDescent="0.25"/>
    <row r="472" s="5" customFormat="1" ht="15.75" customHeight="1" x14ac:dyDescent="0.25"/>
    <row r="473" s="5" customFormat="1" ht="15.75" customHeight="1" x14ac:dyDescent="0.25"/>
    <row r="474" s="5" customFormat="1" ht="15.75" customHeight="1" x14ac:dyDescent="0.25"/>
    <row r="475" s="5" customFormat="1" ht="15.75" customHeight="1" x14ac:dyDescent="0.25"/>
    <row r="476" s="5" customFormat="1" ht="15.75" customHeight="1" x14ac:dyDescent="0.25"/>
    <row r="477" s="5" customFormat="1" ht="15.75" customHeight="1" x14ac:dyDescent="0.25"/>
    <row r="478" s="5" customFormat="1" ht="15.75" customHeight="1" x14ac:dyDescent="0.25"/>
    <row r="479" s="5" customFormat="1" ht="15.75" customHeight="1" x14ac:dyDescent="0.25"/>
    <row r="480" s="5" customFormat="1" ht="15.75" customHeight="1" x14ac:dyDescent="0.25"/>
    <row r="481" s="5" customFormat="1" ht="15.75" customHeight="1" x14ac:dyDescent="0.25"/>
    <row r="482" s="5" customFormat="1" ht="15.75" customHeight="1" x14ac:dyDescent="0.25"/>
    <row r="483" s="5" customFormat="1" ht="15.75" customHeight="1" x14ac:dyDescent="0.25"/>
    <row r="484" s="5" customFormat="1" ht="15.75" customHeight="1" x14ac:dyDescent="0.25"/>
    <row r="485" s="5" customFormat="1" ht="15.75" customHeight="1" x14ac:dyDescent="0.25"/>
    <row r="486" s="5" customFormat="1" ht="15.75" customHeight="1" x14ac:dyDescent="0.25"/>
    <row r="487" s="5" customFormat="1" ht="15.75" customHeight="1" x14ac:dyDescent="0.25"/>
    <row r="488" s="5" customFormat="1" ht="15.75" customHeight="1" x14ac:dyDescent="0.25"/>
    <row r="489" s="5" customFormat="1" ht="15.75" customHeight="1" x14ac:dyDescent="0.25"/>
    <row r="490" s="5" customFormat="1" ht="15.75" customHeight="1" x14ac:dyDescent="0.25"/>
    <row r="491" s="5" customFormat="1" ht="15.75" customHeight="1" x14ac:dyDescent="0.25"/>
    <row r="492" s="5" customFormat="1" ht="15.75" customHeight="1" x14ac:dyDescent="0.25"/>
    <row r="493" s="5" customFormat="1" ht="15.75" customHeight="1" x14ac:dyDescent="0.25"/>
    <row r="494" s="5" customFormat="1" ht="15.75" customHeight="1" x14ac:dyDescent="0.25"/>
    <row r="495" s="5" customFormat="1" ht="15.75" customHeight="1" x14ac:dyDescent="0.25"/>
    <row r="496" s="5" customFormat="1" ht="15.75" customHeight="1" x14ac:dyDescent="0.25"/>
    <row r="497" s="5" customFormat="1" ht="15.75" customHeight="1" x14ac:dyDescent="0.25"/>
    <row r="498" s="5" customFormat="1" ht="15.75" customHeight="1" x14ac:dyDescent="0.25"/>
    <row r="499" s="5" customFormat="1" ht="15.75" customHeight="1" x14ac:dyDescent="0.25"/>
    <row r="500" s="5" customFormat="1" ht="15.75" customHeight="1" x14ac:dyDescent="0.25"/>
    <row r="501" s="5" customFormat="1" ht="15.75" customHeight="1" x14ac:dyDescent="0.25"/>
    <row r="502" s="5" customFormat="1" ht="15.75" customHeight="1" x14ac:dyDescent="0.25"/>
    <row r="503" s="5" customFormat="1" ht="15.75" customHeight="1" x14ac:dyDescent="0.25"/>
    <row r="504" s="5" customFormat="1" ht="15.75" customHeight="1" x14ac:dyDescent="0.25"/>
    <row r="505" s="5" customFormat="1" ht="15.75" customHeight="1" x14ac:dyDescent="0.25"/>
    <row r="506" s="5" customFormat="1" ht="15.75" customHeight="1" x14ac:dyDescent="0.25"/>
    <row r="507" s="5" customFormat="1" ht="15.75" customHeight="1" x14ac:dyDescent="0.25"/>
    <row r="508" s="5" customFormat="1" ht="15.75" customHeight="1" x14ac:dyDescent="0.25"/>
    <row r="509" s="5" customFormat="1" ht="15.75" customHeight="1" x14ac:dyDescent="0.25"/>
    <row r="510" s="5" customFormat="1" ht="15.75" customHeight="1" x14ac:dyDescent="0.25"/>
    <row r="511" s="5" customFormat="1" ht="15.75" customHeight="1" x14ac:dyDescent="0.25"/>
    <row r="512" s="5" customFormat="1" ht="15.75" customHeight="1" x14ac:dyDescent="0.25"/>
    <row r="513" s="5" customFormat="1" ht="15.75" customHeight="1" x14ac:dyDescent="0.25"/>
    <row r="514" s="5" customFormat="1" ht="15.75" customHeight="1" x14ac:dyDescent="0.25"/>
    <row r="515" s="5" customFormat="1" ht="15.75" customHeight="1" x14ac:dyDescent="0.25"/>
    <row r="516" s="5" customFormat="1" ht="15.75" customHeight="1" x14ac:dyDescent="0.25"/>
    <row r="517" s="5" customFormat="1" ht="15.75" customHeight="1" x14ac:dyDescent="0.25"/>
    <row r="518" s="5" customFormat="1" ht="15.75" customHeight="1" x14ac:dyDescent="0.25"/>
    <row r="519" s="5" customFormat="1" ht="15.75" customHeight="1" x14ac:dyDescent="0.25"/>
    <row r="520" s="5" customFormat="1" ht="15.75" customHeight="1" x14ac:dyDescent="0.25"/>
    <row r="521" s="5" customFormat="1" ht="15.75" customHeight="1" x14ac:dyDescent="0.25"/>
    <row r="522" s="5" customFormat="1" ht="15.75" customHeight="1" x14ac:dyDescent="0.25"/>
    <row r="523" s="5" customFormat="1" ht="15.75" customHeight="1" x14ac:dyDescent="0.25"/>
    <row r="524" s="5" customFormat="1" ht="15.75" customHeight="1" x14ac:dyDescent="0.25"/>
    <row r="525" s="5" customFormat="1" ht="15.75" customHeight="1" x14ac:dyDescent="0.25"/>
    <row r="526" s="5" customFormat="1" ht="15.75" customHeight="1" x14ac:dyDescent="0.25"/>
    <row r="527" s="5" customFormat="1" ht="15.75" customHeight="1" x14ac:dyDescent="0.25"/>
    <row r="528" s="5" customFormat="1" ht="15.75" customHeight="1" x14ac:dyDescent="0.25"/>
    <row r="529" s="5" customFormat="1" ht="15.75" customHeight="1" x14ac:dyDescent="0.25"/>
    <row r="530" s="5" customFormat="1" ht="15.75" customHeight="1" x14ac:dyDescent="0.25"/>
    <row r="531" s="5" customFormat="1" ht="15.75" customHeight="1" x14ac:dyDescent="0.25"/>
    <row r="532" s="5" customFormat="1" ht="15.75" customHeight="1" x14ac:dyDescent="0.25"/>
    <row r="533" s="5" customFormat="1" ht="15.75" customHeight="1" x14ac:dyDescent="0.25"/>
    <row r="534" s="5" customFormat="1" ht="15.75" customHeight="1" x14ac:dyDescent="0.25"/>
    <row r="535" s="5" customFormat="1" ht="15.75" customHeight="1" x14ac:dyDescent="0.25"/>
    <row r="536" s="5" customFormat="1" ht="15.75" customHeight="1" x14ac:dyDescent="0.25"/>
    <row r="537" s="5" customFormat="1" ht="15.75" customHeight="1" x14ac:dyDescent="0.25"/>
    <row r="538" s="5" customFormat="1" ht="15.75" customHeight="1" x14ac:dyDescent="0.25"/>
    <row r="539" s="5" customFormat="1" ht="15.75" customHeight="1" x14ac:dyDescent="0.25"/>
    <row r="540" s="5" customFormat="1" ht="15.75" customHeight="1" x14ac:dyDescent="0.25"/>
    <row r="541" s="5" customFormat="1" ht="15.75" customHeight="1" x14ac:dyDescent="0.25"/>
    <row r="542" s="5" customFormat="1" ht="15.75" customHeight="1" x14ac:dyDescent="0.25"/>
    <row r="543" s="5" customFormat="1" ht="15.75" customHeight="1" x14ac:dyDescent="0.25"/>
    <row r="544" s="5" customFormat="1" ht="15.75" customHeight="1" x14ac:dyDescent="0.25"/>
    <row r="545" s="5" customFormat="1" ht="15.75" customHeight="1" x14ac:dyDescent="0.25"/>
    <row r="546" s="5" customFormat="1" ht="15.75" customHeight="1" x14ac:dyDescent="0.25"/>
    <row r="547" s="5" customFormat="1" ht="15.75" customHeight="1" x14ac:dyDescent="0.25"/>
    <row r="548" s="5" customFormat="1" ht="15.75" customHeight="1" x14ac:dyDescent="0.25"/>
    <row r="549" s="5" customFormat="1" ht="15.75" customHeight="1" x14ac:dyDescent="0.25"/>
    <row r="550" s="5" customFormat="1" ht="15.75" customHeight="1" x14ac:dyDescent="0.25"/>
    <row r="551" s="5" customFormat="1" ht="15.75" customHeight="1" x14ac:dyDescent="0.25"/>
    <row r="552" s="5" customFormat="1" ht="15.75" customHeight="1" x14ac:dyDescent="0.25"/>
    <row r="553" s="5" customFormat="1" ht="15.75" customHeight="1" x14ac:dyDescent="0.25"/>
    <row r="554" s="5" customFormat="1" ht="15.75" customHeight="1" x14ac:dyDescent="0.25"/>
    <row r="555" s="5" customFormat="1" ht="15.75" customHeight="1" x14ac:dyDescent="0.25"/>
    <row r="556" s="5" customFormat="1" ht="15.75" customHeight="1" x14ac:dyDescent="0.25"/>
    <row r="557" s="5" customFormat="1" ht="15.75" customHeight="1" x14ac:dyDescent="0.25"/>
    <row r="558" s="5" customFormat="1" ht="15.75" customHeight="1" x14ac:dyDescent="0.25"/>
    <row r="559" s="5" customFormat="1" ht="15.75" customHeight="1" x14ac:dyDescent="0.25"/>
    <row r="560" s="5" customFormat="1" ht="15.75" customHeight="1" x14ac:dyDescent="0.25"/>
    <row r="561" s="5" customFormat="1" ht="15.75" customHeight="1" x14ac:dyDescent="0.25"/>
    <row r="562" s="5" customFormat="1" ht="15.75" customHeight="1" x14ac:dyDescent="0.25"/>
    <row r="563" s="5" customFormat="1" ht="15.75" customHeight="1" x14ac:dyDescent="0.25"/>
    <row r="564" s="5" customFormat="1" ht="15.75" customHeight="1" x14ac:dyDescent="0.25"/>
    <row r="565" s="5" customFormat="1" ht="15.75" customHeight="1" x14ac:dyDescent="0.25"/>
    <row r="566" s="5" customFormat="1" ht="15.75" customHeight="1" x14ac:dyDescent="0.25"/>
    <row r="567" s="5" customFormat="1" ht="15.75" customHeight="1" x14ac:dyDescent="0.25"/>
    <row r="568" s="5" customFormat="1" ht="15.75" customHeight="1" x14ac:dyDescent="0.25"/>
    <row r="569" s="5" customFormat="1" ht="15.75" customHeight="1" x14ac:dyDescent="0.25"/>
    <row r="570" s="5" customFormat="1" ht="15.75" customHeight="1" x14ac:dyDescent="0.25"/>
    <row r="571" s="5" customFormat="1" ht="15.75" customHeight="1" x14ac:dyDescent="0.25"/>
    <row r="572" s="5" customFormat="1" ht="15.75" customHeight="1" x14ac:dyDescent="0.25"/>
    <row r="573" s="5" customFormat="1" ht="15.75" customHeight="1" x14ac:dyDescent="0.25"/>
    <row r="574" s="5" customFormat="1" ht="15.75" customHeight="1" x14ac:dyDescent="0.25"/>
    <row r="575" s="5" customFormat="1" ht="15.75" customHeight="1" x14ac:dyDescent="0.25"/>
    <row r="576" s="5" customFormat="1" ht="15.75" customHeight="1" x14ac:dyDescent="0.25"/>
    <row r="577" s="5" customFormat="1" ht="15.75" customHeight="1" x14ac:dyDescent="0.25"/>
    <row r="578" s="5" customFormat="1" ht="15.75" customHeight="1" x14ac:dyDescent="0.25"/>
    <row r="579" s="5" customFormat="1" ht="15.75" customHeight="1" x14ac:dyDescent="0.25"/>
    <row r="580" s="5" customFormat="1" ht="15.75" customHeight="1" x14ac:dyDescent="0.25"/>
    <row r="581" s="5" customFormat="1" ht="15.75" customHeight="1" x14ac:dyDescent="0.25"/>
    <row r="582" s="5" customFormat="1" ht="15.75" customHeight="1" x14ac:dyDescent="0.25"/>
    <row r="583" s="5" customFormat="1" ht="15.75" customHeight="1" x14ac:dyDescent="0.25"/>
    <row r="584" s="5" customFormat="1" ht="15.75" customHeight="1" x14ac:dyDescent="0.25"/>
    <row r="585" s="5" customFormat="1" ht="15.75" customHeight="1" x14ac:dyDescent="0.25"/>
    <row r="586" s="5" customFormat="1" ht="15.75" customHeight="1" x14ac:dyDescent="0.25"/>
    <row r="587" s="5" customFormat="1" ht="15.75" customHeight="1" x14ac:dyDescent="0.25"/>
    <row r="588" s="5" customFormat="1" ht="15.75" customHeight="1" x14ac:dyDescent="0.25"/>
    <row r="589" s="5" customFormat="1" ht="15.75" customHeight="1" x14ac:dyDescent="0.25"/>
    <row r="590" s="5" customFormat="1" ht="15.75" customHeight="1" x14ac:dyDescent="0.25"/>
    <row r="591" s="5" customFormat="1" ht="15.75" customHeight="1" x14ac:dyDescent="0.25"/>
    <row r="592" s="5" customFormat="1" ht="15.75" customHeight="1" x14ac:dyDescent="0.25"/>
    <row r="593" s="5" customFormat="1" ht="15.75" customHeight="1" x14ac:dyDescent="0.25"/>
    <row r="594" s="5" customFormat="1" ht="15.75" customHeight="1" x14ac:dyDescent="0.25"/>
    <row r="595" s="5" customFormat="1" ht="15.75" customHeight="1" x14ac:dyDescent="0.25"/>
    <row r="596" s="5" customFormat="1" ht="15.75" customHeight="1" x14ac:dyDescent="0.25"/>
    <row r="597" s="5" customFormat="1" ht="15.75" customHeight="1" x14ac:dyDescent="0.25"/>
    <row r="598" s="5" customFormat="1" ht="15.75" customHeight="1" x14ac:dyDescent="0.25"/>
    <row r="599" s="5" customFormat="1" ht="15.75" customHeight="1" x14ac:dyDescent="0.25"/>
    <row r="600" s="5" customFormat="1" ht="15.75" customHeight="1" x14ac:dyDescent="0.25"/>
    <row r="601" s="5" customFormat="1" ht="15.75" customHeight="1" x14ac:dyDescent="0.25"/>
    <row r="602" s="5" customFormat="1" ht="15.75" customHeight="1" x14ac:dyDescent="0.25"/>
    <row r="603" s="5" customFormat="1" ht="15.75" customHeight="1" x14ac:dyDescent="0.25"/>
    <row r="604" s="5" customFormat="1" ht="15.75" customHeight="1" x14ac:dyDescent="0.25"/>
    <row r="605" s="5" customFormat="1" ht="15.75" customHeight="1" x14ac:dyDescent="0.25"/>
    <row r="606" s="5" customFormat="1" ht="15.75" customHeight="1" x14ac:dyDescent="0.25"/>
    <row r="607" s="5" customFormat="1" ht="15.75" customHeight="1" x14ac:dyDescent="0.25"/>
    <row r="608" s="5" customFormat="1" ht="15.75" customHeight="1" x14ac:dyDescent="0.25"/>
    <row r="609" s="5" customFormat="1" ht="15.75" customHeight="1" x14ac:dyDescent="0.25"/>
    <row r="610" s="5" customFormat="1" ht="15.75" customHeight="1" x14ac:dyDescent="0.25"/>
    <row r="611" s="5" customFormat="1" ht="15.75" customHeight="1" x14ac:dyDescent="0.25"/>
    <row r="612" s="5" customFormat="1" ht="15.75" customHeight="1" x14ac:dyDescent="0.25"/>
    <row r="613" s="5" customFormat="1" ht="15.75" customHeight="1" x14ac:dyDescent="0.25"/>
    <row r="614" s="5" customFormat="1" ht="15.75" customHeight="1" x14ac:dyDescent="0.25"/>
    <row r="615" s="5" customFormat="1" ht="15.75" customHeight="1" x14ac:dyDescent="0.25"/>
    <row r="616" s="5" customFormat="1" ht="15.75" customHeight="1" x14ac:dyDescent="0.25"/>
    <row r="617" s="5" customFormat="1" ht="15.75" customHeight="1" x14ac:dyDescent="0.25"/>
    <row r="618" s="5" customFormat="1" ht="15.75" customHeight="1" x14ac:dyDescent="0.25"/>
    <row r="619" s="5" customFormat="1" ht="15.75" customHeight="1" x14ac:dyDescent="0.25"/>
    <row r="620" s="5" customFormat="1" ht="15.75" customHeight="1" x14ac:dyDescent="0.25"/>
    <row r="621" s="5" customFormat="1" ht="15.75" customHeight="1" x14ac:dyDescent="0.25"/>
    <row r="622" s="5" customFormat="1" ht="15.75" customHeight="1" x14ac:dyDescent="0.25"/>
    <row r="623" s="5" customFormat="1" ht="15.75" customHeight="1" x14ac:dyDescent="0.25"/>
    <row r="624" s="5" customFormat="1" ht="15.75" customHeight="1" x14ac:dyDescent="0.25"/>
    <row r="625" s="5" customFormat="1" ht="15.75" customHeight="1" x14ac:dyDescent="0.25"/>
    <row r="626" s="5" customFormat="1" ht="15.75" customHeight="1" x14ac:dyDescent="0.25"/>
    <row r="627" s="5" customFormat="1" ht="15.75" customHeight="1" x14ac:dyDescent="0.25"/>
    <row r="628" s="5" customFormat="1" ht="15.75" customHeight="1" x14ac:dyDescent="0.25"/>
    <row r="629" s="5" customFormat="1" ht="15.75" customHeight="1" x14ac:dyDescent="0.25"/>
    <row r="630" s="5" customFormat="1" ht="15.75" customHeight="1" x14ac:dyDescent="0.25"/>
    <row r="631" s="5" customFormat="1" ht="15.75" customHeight="1" x14ac:dyDescent="0.25"/>
    <row r="632" s="5" customFormat="1" ht="15.75" customHeight="1" x14ac:dyDescent="0.25"/>
    <row r="633" s="5" customFormat="1" ht="15.75" customHeight="1" x14ac:dyDescent="0.25"/>
    <row r="634" s="5" customFormat="1" ht="15.75" customHeight="1" x14ac:dyDescent="0.25"/>
    <row r="635" s="5" customFormat="1" ht="15.75" customHeight="1" x14ac:dyDescent="0.25"/>
    <row r="636" s="5" customFormat="1" ht="15.75" customHeight="1" x14ac:dyDescent="0.25"/>
    <row r="637" s="5" customFormat="1" ht="15.75" customHeight="1" x14ac:dyDescent="0.25"/>
    <row r="638" s="5" customFormat="1" ht="15.75" customHeight="1" x14ac:dyDescent="0.25"/>
    <row r="639" s="5" customFormat="1" ht="15.75" customHeight="1" x14ac:dyDescent="0.25"/>
    <row r="640" s="5" customFormat="1" ht="15.75" customHeight="1" x14ac:dyDescent="0.25"/>
    <row r="641" s="5" customFormat="1" ht="15.75" customHeight="1" x14ac:dyDescent="0.25"/>
    <row r="642" s="5" customFormat="1" ht="15.75" customHeight="1" x14ac:dyDescent="0.25"/>
    <row r="643" s="5" customFormat="1" ht="15.75" customHeight="1" x14ac:dyDescent="0.25"/>
    <row r="644" s="5" customFormat="1" ht="15.75" customHeight="1" x14ac:dyDescent="0.25"/>
    <row r="645" s="5" customFormat="1" ht="15.75" customHeight="1" x14ac:dyDescent="0.25"/>
    <row r="646" s="5" customFormat="1" ht="15.75" customHeight="1" x14ac:dyDescent="0.25"/>
    <row r="647" s="5" customFormat="1" ht="15.75" customHeight="1" x14ac:dyDescent="0.25"/>
    <row r="648" s="5" customFormat="1" ht="15.75" customHeight="1" x14ac:dyDescent="0.25"/>
    <row r="649" s="5" customFormat="1" ht="15.75" customHeight="1" x14ac:dyDescent="0.25"/>
    <row r="650" s="5" customFormat="1" ht="15.75" customHeight="1" x14ac:dyDescent="0.25"/>
    <row r="651" s="5" customFormat="1" ht="15.75" customHeight="1" x14ac:dyDescent="0.25"/>
    <row r="652" s="5" customFormat="1" ht="15.75" customHeight="1" x14ac:dyDescent="0.25"/>
    <row r="653" s="5" customFormat="1" ht="15.75" customHeight="1" x14ac:dyDescent="0.25"/>
    <row r="654" s="5" customFormat="1" ht="15.75" customHeight="1" x14ac:dyDescent="0.25"/>
    <row r="655" s="5" customFormat="1" ht="15.75" customHeight="1" x14ac:dyDescent="0.25"/>
    <row r="656" s="5" customFormat="1" ht="15.75" customHeight="1" x14ac:dyDescent="0.25"/>
    <row r="657" s="5" customFormat="1" ht="15.75" customHeight="1" x14ac:dyDescent="0.25"/>
    <row r="658" s="5" customFormat="1" ht="15.75" customHeight="1" x14ac:dyDescent="0.25"/>
    <row r="659" s="5" customFormat="1" ht="15.75" customHeight="1" x14ac:dyDescent="0.25"/>
    <row r="660" s="5" customFormat="1" ht="15.75" customHeight="1" x14ac:dyDescent="0.25"/>
    <row r="661" s="5" customFormat="1" ht="15.75" customHeight="1" x14ac:dyDescent="0.25"/>
    <row r="662" s="5" customFormat="1" ht="15.75" customHeight="1" x14ac:dyDescent="0.25"/>
    <row r="663" s="5" customFormat="1" ht="15.75" customHeight="1" x14ac:dyDescent="0.25"/>
    <row r="664" s="5" customFormat="1" ht="15.75" customHeight="1" x14ac:dyDescent="0.25"/>
    <row r="665" s="5" customFormat="1" ht="15.75" customHeight="1" x14ac:dyDescent="0.25"/>
    <row r="666" s="5" customFormat="1" ht="15.75" customHeight="1" x14ac:dyDescent="0.25"/>
    <row r="667" s="5" customFormat="1" ht="15.75" customHeight="1" x14ac:dyDescent="0.25"/>
    <row r="668" s="5" customFormat="1" ht="15.75" customHeight="1" x14ac:dyDescent="0.25"/>
    <row r="669" s="5" customFormat="1" ht="15.75" customHeight="1" x14ac:dyDescent="0.25"/>
    <row r="670" s="5" customFormat="1" ht="15.75" customHeight="1" x14ac:dyDescent="0.25"/>
    <row r="671" s="5" customFormat="1" ht="15.75" customHeight="1" x14ac:dyDescent="0.25"/>
    <row r="672" s="5" customFormat="1" ht="15.75" customHeight="1" x14ac:dyDescent="0.25"/>
    <row r="673" s="5" customFormat="1" ht="15.75" customHeight="1" x14ac:dyDescent="0.25"/>
    <row r="674" s="5" customFormat="1" ht="15.75" customHeight="1" x14ac:dyDescent="0.25"/>
    <row r="675" s="5" customFormat="1" ht="15.75" customHeight="1" x14ac:dyDescent="0.25"/>
    <row r="676" s="5" customFormat="1" ht="15.75" customHeight="1" x14ac:dyDescent="0.25"/>
    <row r="677" s="5" customFormat="1" ht="15.75" customHeight="1" x14ac:dyDescent="0.25"/>
    <row r="678" s="5" customFormat="1" ht="15.75" customHeight="1" x14ac:dyDescent="0.25"/>
    <row r="679" s="5" customFormat="1" ht="15.75" customHeight="1" x14ac:dyDescent="0.25"/>
    <row r="680" s="5" customFormat="1" ht="15.75" customHeight="1" x14ac:dyDescent="0.25"/>
    <row r="681" s="5" customFormat="1" ht="15.75" customHeight="1" x14ac:dyDescent="0.25"/>
    <row r="682" s="5" customFormat="1" ht="15.75" customHeight="1" x14ac:dyDescent="0.25"/>
    <row r="683" s="5" customFormat="1" ht="15.75" customHeight="1" x14ac:dyDescent="0.25"/>
    <row r="684" s="5" customFormat="1" ht="15.75" customHeight="1" x14ac:dyDescent="0.25"/>
    <row r="685" s="5" customFormat="1" ht="15.75" customHeight="1" x14ac:dyDescent="0.25"/>
    <row r="686" s="5" customFormat="1" ht="15.75" customHeight="1" x14ac:dyDescent="0.25"/>
    <row r="687" s="5" customFormat="1" ht="15.75" customHeight="1" x14ac:dyDescent="0.25"/>
    <row r="688" s="5" customFormat="1" ht="15.75" customHeight="1" x14ac:dyDescent="0.25"/>
    <row r="689" s="5" customFormat="1" ht="15.75" customHeight="1" x14ac:dyDescent="0.25"/>
    <row r="690" s="5" customFormat="1" ht="15.75" customHeight="1" x14ac:dyDescent="0.25"/>
    <row r="691" s="5" customFormat="1" ht="15.75" customHeight="1" x14ac:dyDescent="0.25"/>
    <row r="692" s="5" customFormat="1" ht="15.75" customHeight="1" x14ac:dyDescent="0.25"/>
    <row r="693" s="5" customFormat="1" ht="15.75" customHeight="1" x14ac:dyDescent="0.25"/>
    <row r="694" s="5" customFormat="1" ht="15.75" customHeight="1" x14ac:dyDescent="0.25"/>
    <row r="695" s="5" customFormat="1" ht="15.75" customHeight="1" x14ac:dyDescent="0.25"/>
    <row r="696" s="5" customFormat="1" ht="15.75" customHeight="1" x14ac:dyDescent="0.25"/>
    <row r="697" s="5" customFormat="1" ht="15.75" customHeight="1" x14ac:dyDescent="0.25"/>
    <row r="698" s="5" customFormat="1" ht="15.75" customHeight="1" x14ac:dyDescent="0.25"/>
    <row r="699" s="5" customFormat="1" ht="15.75" customHeight="1" x14ac:dyDescent="0.25"/>
    <row r="700" s="5" customFormat="1" ht="15.75" customHeight="1" x14ac:dyDescent="0.25"/>
    <row r="701" s="5" customFormat="1" ht="15.75" customHeight="1" x14ac:dyDescent="0.25"/>
    <row r="702" s="5" customFormat="1" ht="15.75" customHeight="1" x14ac:dyDescent="0.25"/>
    <row r="703" s="5" customFormat="1" ht="15.75" customHeight="1" x14ac:dyDescent="0.25"/>
    <row r="704" s="5" customFormat="1" ht="15.75" customHeight="1" x14ac:dyDescent="0.25"/>
    <row r="705" s="5" customFormat="1" ht="15.75" customHeight="1" x14ac:dyDescent="0.25"/>
    <row r="706" s="5" customFormat="1" ht="15.75" customHeight="1" x14ac:dyDescent="0.25"/>
    <row r="707" s="5" customFormat="1" ht="15.75" customHeight="1" x14ac:dyDescent="0.25"/>
    <row r="708" s="5" customFormat="1" ht="15.75" customHeight="1" x14ac:dyDescent="0.25"/>
    <row r="709" s="5" customFormat="1" ht="15.75" customHeight="1" x14ac:dyDescent="0.25"/>
    <row r="710" s="5" customFormat="1" ht="15.75" customHeight="1" x14ac:dyDescent="0.25"/>
    <row r="711" s="5" customFormat="1" ht="15.75" customHeight="1" x14ac:dyDescent="0.25"/>
    <row r="712" s="5" customFormat="1" ht="15.75" customHeight="1" x14ac:dyDescent="0.25"/>
    <row r="713" s="5" customFormat="1" ht="15.75" customHeight="1" x14ac:dyDescent="0.25"/>
    <row r="714" s="5" customFormat="1" ht="15.75" customHeight="1" x14ac:dyDescent="0.25"/>
    <row r="715" s="5" customFormat="1" ht="15.75" customHeight="1" x14ac:dyDescent="0.25"/>
    <row r="716" s="5" customFormat="1" ht="15.75" customHeight="1" x14ac:dyDescent="0.25"/>
    <row r="717" s="5" customFormat="1" ht="15.75" customHeight="1" x14ac:dyDescent="0.25"/>
    <row r="718" s="5" customFormat="1" ht="15.75" customHeight="1" x14ac:dyDescent="0.25"/>
    <row r="719" s="5" customFormat="1" ht="15.75" customHeight="1" x14ac:dyDescent="0.25"/>
    <row r="720" s="5" customFormat="1" ht="15.75" customHeight="1" x14ac:dyDescent="0.25"/>
    <row r="721" s="5" customFormat="1" ht="15.75" customHeight="1" x14ac:dyDescent="0.25"/>
    <row r="722" s="5" customFormat="1" ht="15.75" customHeight="1" x14ac:dyDescent="0.25"/>
    <row r="723" s="5" customFormat="1" ht="15.75" customHeight="1" x14ac:dyDescent="0.25"/>
    <row r="724" s="5" customFormat="1" ht="15.75" customHeight="1" x14ac:dyDescent="0.25"/>
    <row r="725" s="5" customFormat="1" ht="15.75" customHeight="1" x14ac:dyDescent="0.25"/>
    <row r="726" s="5" customFormat="1" ht="15.75" customHeight="1" x14ac:dyDescent="0.25"/>
    <row r="727" s="5" customFormat="1" ht="15.75" customHeight="1" x14ac:dyDescent="0.25"/>
    <row r="728" s="5" customFormat="1" ht="15.75" customHeight="1" x14ac:dyDescent="0.25"/>
    <row r="729" s="5" customFormat="1" ht="15.75" customHeight="1" x14ac:dyDescent="0.25"/>
    <row r="730" s="5" customFormat="1" ht="15.75" customHeight="1" x14ac:dyDescent="0.25"/>
    <row r="731" s="5" customFormat="1" ht="15.75" customHeight="1" x14ac:dyDescent="0.25"/>
    <row r="732" s="5" customFormat="1" ht="15.75" customHeight="1" x14ac:dyDescent="0.25"/>
    <row r="733" s="5" customFormat="1" ht="15.75" customHeight="1" x14ac:dyDescent="0.25"/>
    <row r="734" s="5" customFormat="1" ht="15.75" customHeight="1" x14ac:dyDescent="0.25"/>
    <row r="735" s="5" customFormat="1" ht="15.75" customHeight="1" x14ac:dyDescent="0.25"/>
    <row r="736" s="5" customFormat="1" ht="15.75" customHeight="1" x14ac:dyDescent="0.25"/>
    <row r="737" s="5" customFormat="1" ht="15.75" customHeight="1" x14ac:dyDescent="0.25"/>
    <row r="738" s="5" customFormat="1" ht="15.75" customHeight="1" x14ac:dyDescent="0.25"/>
    <row r="739" s="5" customFormat="1" ht="15.75" customHeight="1" x14ac:dyDescent="0.25"/>
    <row r="740" s="5" customFormat="1" ht="15.75" customHeight="1" x14ac:dyDescent="0.25"/>
    <row r="741" s="5" customFormat="1" ht="15.75" customHeight="1" x14ac:dyDescent="0.25"/>
    <row r="742" s="5" customFormat="1" ht="15.75" customHeight="1" x14ac:dyDescent="0.25"/>
    <row r="743" s="5" customFormat="1" ht="15.75" customHeight="1" x14ac:dyDescent="0.25"/>
    <row r="744" s="5" customFormat="1" ht="15.75" customHeight="1" x14ac:dyDescent="0.25"/>
    <row r="745" s="5" customFormat="1" ht="15.75" customHeight="1" x14ac:dyDescent="0.25"/>
    <row r="746" s="5" customFormat="1" ht="15.75" customHeight="1" x14ac:dyDescent="0.25"/>
    <row r="747" s="5" customFormat="1" ht="15.75" customHeight="1" x14ac:dyDescent="0.25"/>
    <row r="748" s="5" customFormat="1" ht="15.75" customHeight="1" x14ac:dyDescent="0.25"/>
    <row r="749" s="5" customFormat="1" ht="15.75" customHeight="1" x14ac:dyDescent="0.25"/>
    <row r="750" s="5" customFormat="1" ht="15.75" customHeight="1" x14ac:dyDescent="0.25"/>
    <row r="751" s="5" customFormat="1" ht="15.75" customHeight="1" x14ac:dyDescent="0.25"/>
    <row r="752" s="5" customFormat="1" ht="15.75" customHeight="1" x14ac:dyDescent="0.25"/>
    <row r="753" s="5" customFormat="1" ht="15.75" customHeight="1" x14ac:dyDescent="0.25"/>
    <row r="754" s="5" customFormat="1" ht="15.75" customHeight="1" x14ac:dyDescent="0.25"/>
    <row r="755" s="5" customFormat="1" ht="15.75" customHeight="1" x14ac:dyDescent="0.25"/>
    <row r="756" s="5" customFormat="1" ht="15.75" customHeight="1" x14ac:dyDescent="0.25"/>
    <row r="757" s="5" customFormat="1" ht="15.75" customHeight="1" x14ac:dyDescent="0.25"/>
    <row r="758" s="5" customFormat="1" ht="15.75" customHeight="1" x14ac:dyDescent="0.25"/>
    <row r="759" s="5" customFormat="1" ht="15.75" customHeight="1" x14ac:dyDescent="0.25"/>
    <row r="760" s="5" customFormat="1" ht="15.75" customHeight="1" x14ac:dyDescent="0.25"/>
    <row r="761" s="5" customFormat="1" ht="15.75" customHeight="1" x14ac:dyDescent="0.25"/>
    <row r="762" s="5" customFormat="1" ht="15.75" customHeight="1" x14ac:dyDescent="0.25"/>
    <row r="763" s="5" customFormat="1" ht="15.75" customHeight="1" x14ac:dyDescent="0.25"/>
    <row r="764" s="5" customFormat="1" ht="15.75" customHeight="1" x14ac:dyDescent="0.25"/>
    <row r="765" s="5" customFormat="1" ht="15.75" customHeight="1" x14ac:dyDescent="0.25"/>
    <row r="766" s="5" customFormat="1" ht="15.75" customHeight="1" x14ac:dyDescent="0.25"/>
    <row r="767" s="5" customFormat="1" ht="15.75" customHeight="1" x14ac:dyDescent="0.25"/>
    <row r="768" s="5" customFormat="1" ht="15.75" customHeight="1" x14ac:dyDescent="0.25"/>
    <row r="769" s="5" customFormat="1" ht="15.75" customHeight="1" x14ac:dyDescent="0.25"/>
    <row r="770" s="5" customFormat="1" ht="15.75" customHeight="1" x14ac:dyDescent="0.25"/>
    <row r="771" s="5" customFormat="1" ht="15.75" customHeight="1" x14ac:dyDescent="0.25"/>
    <row r="772" s="5" customFormat="1" ht="15.75" customHeight="1" x14ac:dyDescent="0.25"/>
    <row r="773" s="5" customFormat="1" ht="15.75" customHeight="1" x14ac:dyDescent="0.25"/>
    <row r="774" s="5" customFormat="1" ht="15.75" customHeight="1" x14ac:dyDescent="0.25"/>
    <row r="775" s="5" customFormat="1" ht="15.75" customHeight="1" x14ac:dyDescent="0.25"/>
    <row r="776" s="5" customFormat="1" ht="15.75" customHeight="1" x14ac:dyDescent="0.25"/>
    <row r="777" s="5" customFormat="1" ht="15.75" customHeight="1" x14ac:dyDescent="0.25"/>
    <row r="778" s="5" customFormat="1" ht="15.75" customHeight="1" x14ac:dyDescent="0.25"/>
    <row r="779" s="5" customFormat="1" ht="15.75" customHeight="1" x14ac:dyDescent="0.25"/>
    <row r="780" s="5" customFormat="1" ht="15.75" customHeight="1" x14ac:dyDescent="0.25"/>
    <row r="781" s="5" customFormat="1" ht="15.75" customHeight="1" x14ac:dyDescent="0.25"/>
    <row r="782" s="5" customFormat="1" ht="15.75" customHeight="1" x14ac:dyDescent="0.25"/>
    <row r="783" s="5" customFormat="1" ht="15.75" customHeight="1" x14ac:dyDescent="0.25"/>
    <row r="784" s="5" customFormat="1" ht="15.75" customHeight="1" x14ac:dyDescent="0.25"/>
    <row r="785" s="5" customFormat="1" ht="15.75" customHeight="1" x14ac:dyDescent="0.25"/>
    <row r="786" s="5" customFormat="1" ht="15.75" customHeight="1" x14ac:dyDescent="0.25"/>
    <row r="787" s="5" customFormat="1" ht="15.75" customHeight="1" x14ac:dyDescent="0.25"/>
    <row r="788" s="5" customFormat="1" ht="15.75" customHeight="1" x14ac:dyDescent="0.25"/>
    <row r="789" s="5" customFormat="1" ht="15.75" customHeight="1" x14ac:dyDescent="0.25"/>
    <row r="790" s="5" customFormat="1" ht="15.75" customHeight="1" x14ac:dyDescent="0.25"/>
    <row r="791" s="5" customFormat="1" ht="15.75" customHeight="1" x14ac:dyDescent="0.25"/>
    <row r="792" s="5" customFormat="1" ht="15.75" customHeight="1" x14ac:dyDescent="0.25"/>
    <row r="793" s="5" customFormat="1" ht="15.75" customHeight="1" x14ac:dyDescent="0.25"/>
    <row r="794" s="5" customFormat="1" ht="15.75" customHeight="1" x14ac:dyDescent="0.25"/>
    <row r="795" s="5" customFormat="1" ht="15.75" customHeight="1" x14ac:dyDescent="0.25"/>
    <row r="796" s="5" customFormat="1" ht="15.75" customHeight="1" x14ac:dyDescent="0.25"/>
    <row r="797" s="5" customFormat="1" ht="15.75" customHeight="1" x14ac:dyDescent="0.25"/>
    <row r="798" s="5" customFormat="1" ht="15.75" customHeight="1" x14ac:dyDescent="0.25"/>
    <row r="799" s="5" customFormat="1" ht="15.75" customHeight="1" x14ac:dyDescent="0.25"/>
    <row r="800" s="5" customFormat="1" ht="15.75" customHeight="1" x14ac:dyDescent="0.25"/>
    <row r="801" s="5" customFormat="1" ht="15.75" customHeight="1" x14ac:dyDescent="0.25"/>
    <row r="802" s="5" customFormat="1" ht="15.75" customHeight="1" x14ac:dyDescent="0.25"/>
    <row r="803" s="5" customFormat="1" ht="15.75" customHeight="1" x14ac:dyDescent="0.25"/>
    <row r="804" s="5" customFormat="1" ht="15.75" customHeight="1" x14ac:dyDescent="0.25"/>
    <row r="805" s="5" customFormat="1" ht="15.75" customHeight="1" x14ac:dyDescent="0.25"/>
    <row r="806" s="5" customFormat="1" ht="15.75" customHeight="1" x14ac:dyDescent="0.25"/>
    <row r="807" s="5" customFormat="1" ht="15.75" customHeight="1" x14ac:dyDescent="0.25"/>
    <row r="808" s="5" customFormat="1" ht="15.75" customHeight="1" x14ac:dyDescent="0.25"/>
    <row r="809" s="5" customFormat="1" ht="15.75" customHeight="1" x14ac:dyDescent="0.25"/>
    <row r="810" s="5" customFormat="1" ht="15.75" customHeight="1" x14ac:dyDescent="0.25"/>
    <row r="811" s="5" customFormat="1" ht="15.75" customHeight="1" x14ac:dyDescent="0.25"/>
    <row r="812" s="5" customFormat="1" ht="15.75" customHeight="1" x14ac:dyDescent="0.25"/>
    <row r="813" s="5" customFormat="1" ht="15.75" customHeight="1" x14ac:dyDescent="0.25"/>
    <row r="814" s="5" customFormat="1" ht="15.75" customHeight="1" x14ac:dyDescent="0.25"/>
    <row r="815" s="5" customFormat="1" ht="15.75" customHeight="1" x14ac:dyDescent="0.25"/>
    <row r="816" s="5" customFormat="1" ht="15.75" customHeight="1" x14ac:dyDescent="0.25"/>
    <row r="817" s="5" customFormat="1" ht="15.75" customHeight="1" x14ac:dyDescent="0.25"/>
    <row r="818" s="5" customFormat="1" ht="15.75" customHeight="1" x14ac:dyDescent="0.25"/>
    <row r="819" s="5" customFormat="1" ht="15.75" customHeight="1" x14ac:dyDescent="0.25"/>
    <row r="820" s="5" customFormat="1" ht="15.75" customHeight="1" x14ac:dyDescent="0.25"/>
    <row r="821" s="5" customFormat="1" ht="15.75" customHeight="1" x14ac:dyDescent="0.25"/>
    <row r="822" s="5" customFormat="1" ht="15.75" customHeight="1" x14ac:dyDescent="0.25"/>
    <row r="823" s="5" customFormat="1" ht="15.75" customHeight="1" x14ac:dyDescent="0.25"/>
    <row r="824" s="5" customFormat="1" ht="15.75" customHeight="1" x14ac:dyDescent="0.25"/>
    <row r="825" s="5" customFormat="1" ht="15.75" customHeight="1" x14ac:dyDescent="0.25"/>
    <row r="826" s="5" customFormat="1" ht="15.75" customHeight="1" x14ac:dyDescent="0.25"/>
    <row r="827" s="5" customFormat="1" ht="15.75" customHeight="1" x14ac:dyDescent="0.25"/>
    <row r="828" s="5" customFormat="1" ht="15.75" customHeight="1" x14ac:dyDescent="0.25"/>
    <row r="829" s="5" customFormat="1" ht="15.75" customHeight="1" x14ac:dyDescent="0.25"/>
    <row r="830" s="5" customFormat="1" ht="15.75" customHeight="1" x14ac:dyDescent="0.25"/>
    <row r="831" s="5" customFormat="1" ht="15.75" customHeight="1" x14ac:dyDescent="0.25"/>
    <row r="832" s="5" customFormat="1" ht="15.75" customHeight="1" x14ac:dyDescent="0.25"/>
    <row r="833" s="5" customFormat="1" ht="15.75" customHeight="1" x14ac:dyDescent="0.25"/>
    <row r="834" s="5" customFormat="1" ht="15.75" customHeight="1" x14ac:dyDescent="0.25"/>
    <row r="835" s="5" customFormat="1" ht="15.75" customHeight="1" x14ac:dyDescent="0.25"/>
    <row r="836" s="5" customFormat="1" ht="15.75" customHeight="1" x14ac:dyDescent="0.25"/>
    <row r="837" s="5" customFormat="1" ht="15.75" customHeight="1" x14ac:dyDescent="0.25"/>
    <row r="838" s="5" customFormat="1" ht="15.75" customHeight="1" x14ac:dyDescent="0.25"/>
    <row r="839" s="5" customFormat="1" ht="15.75" customHeight="1" x14ac:dyDescent="0.25"/>
    <row r="840" s="5" customFormat="1" ht="15.75" customHeight="1" x14ac:dyDescent="0.25"/>
    <row r="841" s="5" customFormat="1" ht="15.75" customHeight="1" x14ac:dyDescent="0.25"/>
    <row r="842" s="5" customFormat="1" ht="15.75" customHeight="1" x14ac:dyDescent="0.25"/>
    <row r="843" s="5" customFormat="1" ht="15.75" customHeight="1" x14ac:dyDescent="0.25"/>
    <row r="844" s="5" customFormat="1" ht="15.75" customHeight="1" x14ac:dyDescent="0.25"/>
    <row r="845" s="5" customFormat="1" ht="15.75" customHeight="1" x14ac:dyDescent="0.25"/>
    <row r="846" s="5" customFormat="1" ht="15.75" customHeight="1" x14ac:dyDescent="0.25"/>
    <row r="847" s="5" customFormat="1" ht="15.75" customHeight="1" x14ac:dyDescent="0.25"/>
    <row r="848" s="5" customFormat="1" ht="15.75" customHeight="1" x14ac:dyDescent="0.25"/>
    <row r="849" s="5" customFormat="1" ht="15.75" customHeight="1" x14ac:dyDescent="0.25"/>
    <row r="850" s="5" customFormat="1" ht="15.75" customHeight="1" x14ac:dyDescent="0.25"/>
    <row r="851" s="5" customFormat="1" ht="15.75" customHeight="1" x14ac:dyDescent="0.25"/>
    <row r="852" s="5" customFormat="1" ht="15.75" customHeight="1" x14ac:dyDescent="0.25"/>
    <row r="853" s="5" customFormat="1" ht="15.75" customHeight="1" x14ac:dyDescent="0.25"/>
    <row r="854" s="5" customFormat="1" ht="15.75" customHeight="1" x14ac:dyDescent="0.25"/>
    <row r="855" s="5" customFormat="1" ht="15.75" customHeight="1" x14ac:dyDescent="0.25"/>
    <row r="856" s="5" customFormat="1" ht="15.75" customHeight="1" x14ac:dyDescent="0.25"/>
    <row r="857" s="5" customFormat="1" ht="15.75" customHeight="1" x14ac:dyDescent="0.25"/>
    <row r="858" s="5" customFormat="1" ht="15.75" customHeight="1" x14ac:dyDescent="0.25"/>
    <row r="859" s="5" customFormat="1" ht="15.75" customHeight="1" x14ac:dyDescent="0.25"/>
    <row r="860" s="5" customFormat="1" ht="15.75" customHeight="1" x14ac:dyDescent="0.25"/>
    <row r="861" s="5" customFormat="1" ht="15.75" customHeight="1" x14ac:dyDescent="0.25"/>
    <row r="862" s="5" customFormat="1" ht="15.75" customHeight="1" x14ac:dyDescent="0.25"/>
    <row r="863" s="5" customFormat="1" ht="15.75" customHeight="1" x14ac:dyDescent="0.25"/>
    <row r="864" s="5" customFormat="1" ht="15.75" customHeight="1" x14ac:dyDescent="0.25"/>
    <row r="865" s="5" customFormat="1" ht="15.75" customHeight="1" x14ac:dyDescent="0.25"/>
    <row r="866" s="5" customFormat="1" ht="15.75" customHeight="1" x14ac:dyDescent="0.25"/>
    <row r="867" s="5" customFormat="1" ht="15.75" customHeight="1" x14ac:dyDescent="0.25"/>
    <row r="868" s="5" customFormat="1" ht="15.75" customHeight="1" x14ac:dyDescent="0.25"/>
    <row r="869" s="5" customFormat="1" ht="15.75" customHeight="1" x14ac:dyDescent="0.25"/>
    <row r="870" s="5" customFormat="1" ht="15.75" customHeight="1" x14ac:dyDescent="0.25"/>
    <row r="871" s="5" customFormat="1" ht="15.75" customHeight="1" x14ac:dyDescent="0.25"/>
    <row r="872" s="5" customFormat="1" ht="15.75" customHeight="1" x14ac:dyDescent="0.25"/>
    <row r="873" s="5" customFormat="1" ht="15.75" customHeight="1" x14ac:dyDescent="0.25"/>
    <row r="874" s="5" customFormat="1" ht="15.75" customHeight="1" x14ac:dyDescent="0.25"/>
    <row r="875" s="5" customFormat="1" ht="15.75" customHeight="1" x14ac:dyDescent="0.25"/>
    <row r="876" s="5" customFormat="1" ht="15.75" customHeight="1" x14ac:dyDescent="0.25"/>
    <row r="877" s="5" customFormat="1" ht="15.75" customHeight="1" x14ac:dyDescent="0.25"/>
    <row r="878" s="5" customFormat="1" ht="15.75" customHeight="1" x14ac:dyDescent="0.25"/>
    <row r="879" s="5" customFormat="1" ht="15.75" customHeight="1" x14ac:dyDescent="0.25"/>
    <row r="880" s="5" customFormat="1" ht="15.75" customHeight="1" x14ac:dyDescent="0.25"/>
    <row r="881" s="5" customFormat="1" ht="15.75" customHeight="1" x14ac:dyDescent="0.25"/>
    <row r="882" s="5" customFormat="1" ht="15.75" customHeight="1" x14ac:dyDescent="0.25"/>
    <row r="883" s="5" customFormat="1" ht="15.75" customHeight="1" x14ac:dyDescent="0.25"/>
    <row r="884" s="5" customFormat="1" ht="15.75" customHeight="1" x14ac:dyDescent="0.25"/>
    <row r="885" s="5" customFormat="1" ht="15.75" customHeight="1" x14ac:dyDescent="0.25"/>
    <row r="886" s="5" customFormat="1" ht="15.75" customHeight="1" x14ac:dyDescent="0.25"/>
    <row r="887" s="5" customFormat="1" ht="15.75" customHeight="1" x14ac:dyDescent="0.25"/>
    <row r="888" s="5" customFormat="1" ht="15.75" customHeight="1" x14ac:dyDescent="0.25"/>
    <row r="889" s="5" customFormat="1" ht="15.75" customHeight="1" x14ac:dyDescent="0.25"/>
    <row r="890" s="5" customFormat="1" ht="15.75" customHeight="1" x14ac:dyDescent="0.25"/>
    <row r="891" s="5" customFormat="1" ht="15.75" customHeight="1" x14ac:dyDescent="0.25"/>
    <row r="892" s="5" customFormat="1" ht="15.75" customHeight="1" x14ac:dyDescent="0.25"/>
    <row r="893" s="5" customFormat="1" ht="15.75" customHeight="1" x14ac:dyDescent="0.25"/>
    <row r="894" s="5" customFormat="1" ht="15.75" customHeight="1" x14ac:dyDescent="0.25"/>
    <row r="895" s="5" customFormat="1" ht="15.75" customHeight="1" x14ac:dyDescent="0.25"/>
    <row r="896" s="5" customFormat="1" ht="15.75" customHeight="1" x14ac:dyDescent="0.25"/>
    <row r="897" s="5" customFormat="1" ht="15.75" customHeight="1" x14ac:dyDescent="0.25"/>
    <row r="898" s="5" customFormat="1" ht="15.75" customHeight="1" x14ac:dyDescent="0.25"/>
    <row r="899" s="5" customFormat="1" ht="15.75" customHeight="1" x14ac:dyDescent="0.25"/>
    <row r="900" s="5" customFormat="1" ht="15.75" customHeight="1" x14ac:dyDescent="0.25"/>
    <row r="901" s="5" customFormat="1" ht="15.75" customHeight="1" x14ac:dyDescent="0.25"/>
    <row r="902" s="5" customFormat="1" ht="15.75" customHeight="1" x14ac:dyDescent="0.25"/>
    <row r="903" s="5" customFormat="1" ht="15.75" customHeight="1" x14ac:dyDescent="0.25"/>
    <row r="904" s="5" customFormat="1" ht="15.75" customHeight="1" x14ac:dyDescent="0.25"/>
    <row r="905" s="5" customFormat="1" ht="15.75" customHeight="1" x14ac:dyDescent="0.25"/>
    <row r="906" s="5" customFormat="1" ht="15.75" customHeight="1" x14ac:dyDescent="0.25"/>
    <row r="907" s="5" customFormat="1" ht="15.75" customHeight="1" x14ac:dyDescent="0.25"/>
    <row r="908" s="5" customFormat="1" ht="15.75" customHeight="1" x14ac:dyDescent="0.25"/>
    <row r="909" s="5" customFormat="1" ht="15.75" customHeight="1" x14ac:dyDescent="0.25"/>
    <row r="910" s="5" customFormat="1" ht="15.75" customHeight="1" x14ac:dyDescent="0.25"/>
    <row r="911" s="5" customFormat="1" ht="15.75" customHeight="1" x14ac:dyDescent="0.25"/>
    <row r="912" s="5" customFormat="1" ht="15.75" customHeight="1" x14ac:dyDescent="0.25"/>
    <row r="913" s="5" customFormat="1" ht="15.75" customHeight="1" x14ac:dyDescent="0.25"/>
    <row r="914" s="5" customFormat="1" ht="15.75" customHeight="1" x14ac:dyDescent="0.25"/>
    <row r="915" s="5" customFormat="1" ht="15.75" customHeight="1" x14ac:dyDescent="0.25"/>
    <row r="916" s="5" customFormat="1" ht="15.75" customHeight="1" x14ac:dyDescent="0.25"/>
    <row r="917" s="5" customFormat="1" ht="15.75" customHeight="1" x14ac:dyDescent="0.25"/>
    <row r="918" s="5" customFormat="1" ht="15.75" customHeight="1" x14ac:dyDescent="0.25"/>
    <row r="919" s="5" customFormat="1" ht="15.75" customHeight="1" x14ac:dyDescent="0.25"/>
    <row r="920" s="5" customFormat="1" ht="15.75" customHeight="1" x14ac:dyDescent="0.25"/>
    <row r="921" s="5" customFormat="1" ht="15.75" customHeight="1" x14ac:dyDescent="0.25"/>
    <row r="922" s="5" customFormat="1" ht="15.75" customHeight="1" x14ac:dyDescent="0.25"/>
    <row r="923" s="5" customFormat="1" ht="15.75" customHeight="1" x14ac:dyDescent="0.25"/>
    <row r="924" s="5" customFormat="1" ht="15.75" customHeight="1" x14ac:dyDescent="0.25"/>
    <row r="925" s="5" customFormat="1" ht="15.75" customHeight="1" x14ac:dyDescent="0.25"/>
    <row r="926" s="5" customFormat="1" ht="15.75" customHeight="1" x14ac:dyDescent="0.25"/>
    <row r="927" s="5" customFormat="1" ht="15.75" customHeight="1" x14ac:dyDescent="0.25"/>
    <row r="928" s="5" customFormat="1" ht="15.75" customHeight="1" x14ac:dyDescent="0.25"/>
    <row r="929" s="5" customFormat="1" ht="15.75" customHeight="1" x14ac:dyDescent="0.25"/>
    <row r="930" s="5" customFormat="1" ht="15.75" customHeight="1" x14ac:dyDescent="0.25"/>
    <row r="931" s="5" customFormat="1" ht="15.75" customHeight="1" x14ac:dyDescent="0.25"/>
    <row r="932" s="5" customFormat="1" ht="15.75" customHeight="1" x14ac:dyDescent="0.25"/>
    <row r="933" s="5" customFormat="1" ht="15.75" customHeight="1" x14ac:dyDescent="0.25"/>
    <row r="934" s="5" customFormat="1" ht="15.75" customHeight="1" x14ac:dyDescent="0.25"/>
    <row r="935" s="5" customFormat="1" ht="15.75" customHeight="1" x14ac:dyDescent="0.25"/>
    <row r="936" s="5" customFormat="1" ht="15.75" customHeight="1" x14ac:dyDescent="0.25"/>
    <row r="937" s="5" customFormat="1" ht="15.75" customHeight="1" x14ac:dyDescent="0.25"/>
    <row r="938" s="5" customFormat="1" ht="15.75" customHeight="1" x14ac:dyDescent="0.25"/>
    <row r="939" s="5" customFormat="1" ht="15.75" customHeight="1" x14ac:dyDescent="0.25"/>
    <row r="940" s="5" customFormat="1" ht="15.75" customHeight="1" x14ac:dyDescent="0.25"/>
    <row r="941" s="5" customFormat="1" ht="15.75" customHeight="1" x14ac:dyDescent="0.25"/>
    <row r="942" s="5" customFormat="1" ht="15.75" customHeight="1" x14ac:dyDescent="0.25"/>
    <row r="943" s="5" customFormat="1" ht="15.75" customHeight="1" x14ac:dyDescent="0.25"/>
    <row r="944" s="5" customFormat="1" ht="15.75" customHeight="1" x14ac:dyDescent="0.25"/>
    <row r="945" s="5" customFormat="1" ht="15.75" customHeight="1" x14ac:dyDescent="0.25"/>
    <row r="946" s="5" customFormat="1" ht="15.75" customHeight="1" x14ac:dyDescent="0.25"/>
    <row r="947" s="5" customFormat="1" ht="15.75" customHeight="1" x14ac:dyDescent="0.25"/>
    <row r="948" s="5" customFormat="1" ht="15.75" customHeight="1" x14ac:dyDescent="0.25"/>
    <row r="949" s="5" customFormat="1" ht="15.75" customHeight="1" x14ac:dyDescent="0.25"/>
    <row r="950" s="5" customFormat="1" ht="15.75" customHeight="1" x14ac:dyDescent="0.25"/>
    <row r="951" s="5" customFormat="1" ht="15.75" customHeight="1" x14ac:dyDescent="0.25"/>
    <row r="952" s="5" customFormat="1" ht="15.75" customHeight="1" x14ac:dyDescent="0.25"/>
    <row r="953" s="5" customFormat="1" ht="15.75" customHeight="1" x14ac:dyDescent="0.25"/>
    <row r="954" s="5" customFormat="1" ht="15.75" customHeight="1" x14ac:dyDescent="0.25"/>
    <row r="955" s="5" customFormat="1" ht="15.75" customHeight="1" x14ac:dyDescent="0.25"/>
    <row r="956" s="5" customFormat="1" ht="15.75" customHeight="1" x14ac:dyDescent="0.25"/>
    <row r="957" s="5" customFormat="1" ht="15.75" customHeight="1" x14ac:dyDescent="0.25"/>
    <row r="958" s="5" customFormat="1" ht="15.75" customHeight="1" x14ac:dyDescent="0.25"/>
    <row r="959" s="5" customFormat="1" ht="15.75" customHeight="1" x14ac:dyDescent="0.25"/>
    <row r="960" s="5" customFormat="1" ht="15.75" customHeight="1" x14ac:dyDescent="0.25"/>
    <row r="961" s="5" customFormat="1" ht="15.75" customHeight="1" x14ac:dyDescent="0.25"/>
    <row r="962" s="5" customFormat="1" ht="15.75" customHeight="1" x14ac:dyDescent="0.25"/>
    <row r="963" s="5" customFormat="1" ht="15.75" customHeight="1" x14ac:dyDescent="0.25"/>
    <row r="964" s="5" customFormat="1" ht="15.75" customHeight="1" x14ac:dyDescent="0.25"/>
    <row r="965" s="5" customFormat="1" ht="15.75" customHeight="1" x14ac:dyDescent="0.25"/>
    <row r="966" s="5" customFormat="1" ht="15.75" customHeight="1" x14ac:dyDescent="0.25"/>
    <row r="967" s="5" customFormat="1" ht="15.75" customHeight="1" x14ac:dyDescent="0.25"/>
    <row r="968" s="5" customFormat="1" ht="15.75" customHeight="1" x14ac:dyDescent="0.25"/>
    <row r="969" s="5" customFormat="1" ht="15.75" customHeight="1" x14ac:dyDescent="0.25"/>
    <row r="970" s="5" customFormat="1" ht="15.75" customHeight="1" x14ac:dyDescent="0.25"/>
    <row r="971" s="5" customFormat="1" ht="15.75" customHeight="1" x14ac:dyDescent="0.25"/>
    <row r="972" s="5" customFormat="1" ht="15.75" customHeight="1" x14ac:dyDescent="0.25"/>
    <row r="973" s="5" customFormat="1" ht="15.75" customHeight="1" x14ac:dyDescent="0.25"/>
    <row r="974" s="5" customFormat="1" ht="15.75" customHeight="1" x14ac:dyDescent="0.25"/>
    <row r="975" s="5" customFormat="1" ht="15.75" customHeight="1" x14ac:dyDescent="0.25"/>
    <row r="976" s="5" customFormat="1" ht="15.75" customHeight="1" x14ac:dyDescent="0.25"/>
    <row r="977" s="5" customFormat="1" ht="15.75" customHeight="1" x14ac:dyDescent="0.25"/>
    <row r="978" s="5" customFormat="1" ht="15.75" customHeight="1" x14ac:dyDescent="0.25"/>
    <row r="979" s="5" customFormat="1" ht="15.75" customHeight="1" x14ac:dyDescent="0.25"/>
    <row r="980" s="5" customFormat="1" ht="15.75" customHeight="1" x14ac:dyDescent="0.25"/>
    <row r="981" s="5" customFormat="1" ht="15.75" customHeight="1" x14ac:dyDescent="0.25"/>
    <row r="982" s="5" customFormat="1" ht="15.75" customHeight="1" x14ac:dyDescent="0.25"/>
    <row r="983" s="5" customFormat="1" ht="15.75" customHeight="1" x14ac:dyDescent="0.25"/>
    <row r="984" s="5" customFormat="1" ht="15.75" customHeight="1" x14ac:dyDescent="0.25"/>
    <row r="985" s="5" customFormat="1" ht="15.75" customHeight="1" x14ac:dyDescent="0.25"/>
    <row r="986" s="5" customFormat="1" ht="15.75" customHeight="1" x14ac:dyDescent="0.25"/>
    <row r="987" s="5" customFormat="1" ht="15.75" customHeight="1" x14ac:dyDescent="0.25"/>
    <row r="988" s="5" customFormat="1" ht="15.75" customHeight="1" x14ac:dyDescent="0.25"/>
    <row r="989" s="5" customFormat="1" ht="15.75" customHeight="1" x14ac:dyDescent="0.25"/>
    <row r="990" s="5" customFormat="1" ht="15.75" customHeight="1" x14ac:dyDescent="0.25"/>
    <row r="991" s="5" customFormat="1" ht="15.75" customHeight="1" x14ac:dyDescent="0.25"/>
    <row r="992" s="5" customFormat="1" ht="15.75" customHeight="1" x14ac:dyDescent="0.25"/>
    <row r="993" s="5" customFormat="1" ht="15.75" customHeight="1" x14ac:dyDescent="0.25"/>
    <row r="994" s="5" customFormat="1" ht="15.75" customHeight="1" x14ac:dyDescent="0.25"/>
    <row r="995" s="5" customFormat="1" ht="15.75" customHeight="1" x14ac:dyDescent="0.25"/>
    <row r="996" s="5" customFormat="1" ht="15.75" customHeight="1" x14ac:dyDescent="0.25"/>
    <row r="997" s="5" customFormat="1" ht="15.75" customHeight="1" x14ac:dyDescent="0.25"/>
    <row r="998" s="5" customFormat="1" ht="15.75" customHeight="1" x14ac:dyDescent="0.25"/>
    <row r="999" s="5" customFormat="1" ht="15.75" customHeight="1" x14ac:dyDescent="0.25"/>
    <row r="1000" s="5" customFormat="1" ht="15.75" customHeight="1" x14ac:dyDescent="0.25"/>
    <row r="1001" s="5" customFormat="1" ht="15.75" customHeight="1" x14ac:dyDescent="0.25"/>
    <row r="1002" s="5" customFormat="1" ht="15.75" customHeight="1" x14ac:dyDescent="0.25"/>
  </sheetData>
  <phoneticPr fontId="6" type="noConversion"/>
  <dataValidations count="1">
    <dataValidation type="custom" allowBlank="1" showInputMessage="1" showErrorMessage="1" sqref="H26" xr:uid="{03BCF77C-42DF-4C47-A434-8A29680E17A5}">
      <formula1>IF(H26="",TRUE,SUM(--_xlfn.TEXTAFTER(_xlfn.TEXTSPLIT(H26,"-"),"."))&lt;=J26)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5"/>
  <sheetViews>
    <sheetView zoomScale="70" zoomScaleNormal="70" workbookViewId="0">
      <pane ySplit="1" topLeftCell="A2" activePane="bottomLeft" state="frozen"/>
      <selection pane="bottomLeft" activeCell="J8" sqref="J8"/>
    </sheetView>
  </sheetViews>
  <sheetFormatPr defaultColWidth="12.5546875" defaultRowHeight="15" customHeight="1" x14ac:dyDescent="0.25"/>
  <cols>
    <col min="1" max="1" width="12.5546875" style="5" customWidth="1"/>
    <col min="2" max="2" width="12.6640625" style="5" customWidth="1"/>
    <col min="3" max="3" width="69" style="5" bestFit="1" customWidth="1"/>
    <col min="4" max="4" width="14.5546875" style="5" customWidth="1"/>
    <col min="5" max="5" width="69" style="5" bestFit="1" customWidth="1"/>
    <col min="6" max="6" width="12.5546875" style="5" customWidth="1"/>
    <col min="7" max="7" width="12.6640625" style="5" customWidth="1"/>
    <col min="8" max="8" width="29.5546875" style="5" customWidth="1"/>
    <col min="9" max="9" width="26.5546875" style="5" customWidth="1"/>
    <col min="10" max="10" width="15" style="5" bestFit="1" customWidth="1"/>
    <col min="11" max="16384" width="12.5546875" style="5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43</v>
      </c>
      <c r="H1" s="1" t="s">
        <v>48</v>
      </c>
    </row>
    <row r="2" spans="1:11" ht="15.75" customHeight="1" x14ac:dyDescent="0.25">
      <c r="A2" s="2">
        <v>2</v>
      </c>
      <c r="B2" s="2" t="s">
        <v>40</v>
      </c>
      <c r="C2" s="2" t="str">
        <f>A2&amp;"."&amp;A2&amp;"."&amp;A2&amp;".0"</f>
        <v>2.2.2.0</v>
      </c>
      <c r="D2" s="2" t="s">
        <v>6</v>
      </c>
      <c r="E2" s="2" t="s">
        <v>44</v>
      </c>
      <c r="F2" s="2" t="s">
        <v>55</v>
      </c>
      <c r="G2" s="2" t="s">
        <v>44</v>
      </c>
      <c r="H2" s="2" t="str">
        <f>'Site 1 (HUB)'!H2</f>
        <v>TACACS-KEY</v>
      </c>
    </row>
    <row r="3" spans="1:11" ht="15.75" customHeight="1" x14ac:dyDescent="0.25">
      <c r="A3" s="6"/>
      <c r="B3" s="7"/>
      <c r="C3" s="6"/>
      <c r="D3" s="6"/>
      <c r="E3" s="6"/>
      <c r="F3" s="6"/>
      <c r="G3" s="6"/>
      <c r="H3" s="6"/>
    </row>
    <row r="4" spans="1:11" ht="31.5" customHeight="1" x14ac:dyDescent="0.25">
      <c r="A4" s="8" t="s">
        <v>7</v>
      </c>
      <c r="B4" s="8" t="s">
        <v>8</v>
      </c>
      <c r="C4" s="8" t="s">
        <v>9</v>
      </c>
      <c r="D4" s="8" t="s">
        <v>10</v>
      </c>
      <c r="E4" s="8" t="s">
        <v>11</v>
      </c>
      <c r="F4" s="8" t="s">
        <v>12</v>
      </c>
      <c r="G4" s="9" t="s">
        <v>13</v>
      </c>
      <c r="H4" s="9" t="s">
        <v>14</v>
      </c>
      <c r="I4" s="9" t="s">
        <v>33</v>
      </c>
      <c r="J4" s="10" t="s">
        <v>42</v>
      </c>
      <c r="K4" s="10" t="s">
        <v>34</v>
      </c>
    </row>
    <row r="5" spans="1:11" ht="15.75" customHeight="1" x14ac:dyDescent="0.25">
      <c r="A5" s="11" t="s">
        <v>15</v>
      </c>
      <c r="B5" s="12">
        <v>10</v>
      </c>
      <c r="C5" s="11">
        <v>0</v>
      </c>
      <c r="D5" s="11" t="str">
        <f>10&amp;"."&amp;(B5+A2)&amp;"."&amp;0&amp;"."&amp;0</f>
        <v>10.12.0.0</v>
      </c>
      <c r="E5" s="11" t="str">
        <f t="shared" ref="E5:E8" si="0">LEFT(D5,LEN(D5)-1)&amp;"1"</f>
        <v>10.12.0.1</v>
      </c>
      <c r="F5" s="11" t="s">
        <v>16</v>
      </c>
      <c r="G5" s="11" t="str">
        <f t="shared" ref="G5:G8" si="1">LEFT(D5,LEN(D5)-1)&amp;"1"</f>
        <v>10.12.0.1</v>
      </c>
      <c r="H5" s="11" t="str">
        <f ca="1">IFERROR(__xludf.DUMMYFUNCTION("REGEXREPLACE(D5,""\.[0-9]+\.[0-9]+$"","".255.254"")"),"10.12.255.254")</f>
        <v>10.12.255.254</v>
      </c>
      <c r="I5" s="11">
        <v>10</v>
      </c>
      <c r="J5" s="13">
        <v>21</v>
      </c>
      <c r="K5" s="13">
        <v>5</v>
      </c>
    </row>
    <row r="6" spans="1:11" ht="15.75" customHeight="1" x14ac:dyDescent="0.25">
      <c r="A6" s="11" t="s">
        <v>17</v>
      </c>
      <c r="B6" s="12">
        <v>20</v>
      </c>
      <c r="C6" s="11">
        <v>0</v>
      </c>
      <c r="D6" s="11" t="str">
        <f>10&amp;"."&amp;(B6+A2)&amp;"."&amp;0&amp;"."&amp;0</f>
        <v>10.22.0.0</v>
      </c>
      <c r="E6" s="11" t="str">
        <f t="shared" si="0"/>
        <v>10.22.0.1</v>
      </c>
      <c r="F6" s="11" t="s">
        <v>16</v>
      </c>
      <c r="G6" s="11" t="str">
        <f t="shared" si="1"/>
        <v>10.22.0.1</v>
      </c>
      <c r="H6" s="11" t="str">
        <f ca="1">IFERROR(__xludf.DUMMYFUNCTION("REGEXREPLACE(D6,""\.[0-9]+\.[0-9]+$"","".255.254"")"),"10.22.255.254")</f>
        <v>10.22.255.254</v>
      </c>
      <c r="I6" s="11">
        <v>10</v>
      </c>
      <c r="J6" s="13">
        <v>11</v>
      </c>
      <c r="K6" s="13">
        <v>2</v>
      </c>
    </row>
    <row r="7" spans="1:11" ht="15.75" customHeight="1" x14ac:dyDescent="0.25">
      <c r="A7" s="11" t="s">
        <v>18</v>
      </c>
      <c r="B7" s="12">
        <v>30</v>
      </c>
      <c r="C7" s="11">
        <v>0</v>
      </c>
      <c r="D7" s="11" t="str">
        <f>10&amp;"."&amp;(B7+A2)&amp;"."&amp;0&amp;"."&amp;0</f>
        <v>10.32.0.0</v>
      </c>
      <c r="E7" s="11" t="str">
        <f t="shared" si="0"/>
        <v>10.32.0.1</v>
      </c>
      <c r="F7" s="11" t="s">
        <v>16</v>
      </c>
      <c r="G7" s="11" t="str">
        <f t="shared" si="1"/>
        <v>10.32.0.1</v>
      </c>
      <c r="H7" s="11" t="str">
        <f ca="1">IFERROR(__xludf.DUMMYFUNCTION("REGEXREPLACE(D7,""\.[0-9]+\.[0-9]+$"","".255.254"")"),"10.32.255.254")</f>
        <v>10.32.255.254</v>
      </c>
      <c r="I7" s="11">
        <v>10</v>
      </c>
      <c r="J7" s="5">
        <v>42</v>
      </c>
      <c r="K7" s="5">
        <v>7</v>
      </c>
    </row>
    <row r="8" spans="1:11" ht="15.75" customHeight="1" x14ac:dyDescent="0.25">
      <c r="A8" s="11" t="s">
        <v>51</v>
      </c>
      <c r="B8" s="12">
        <v>40</v>
      </c>
      <c r="C8" s="11">
        <v>0</v>
      </c>
      <c r="D8" s="11" t="str">
        <f>10&amp;"."&amp;(B8+A2)&amp;"."&amp;0&amp;"."&amp;0</f>
        <v>10.42.0.0</v>
      </c>
      <c r="E8" s="11" t="str">
        <f t="shared" si="0"/>
        <v>10.42.0.1</v>
      </c>
      <c r="F8" s="11" t="s">
        <v>16</v>
      </c>
      <c r="G8" s="11" t="str">
        <f t="shared" si="1"/>
        <v>10.42.0.1</v>
      </c>
      <c r="H8" s="11" t="str">
        <f ca="1">IFERROR(__xludf.DUMMYFUNCTION("REGEXREPLACE(D7,""\.[0-9]+\.[0-9]+$"","".255.254"")"),"10.31.255.254")</f>
        <v>10.31.255.254</v>
      </c>
      <c r="I8" s="11">
        <v>10</v>
      </c>
      <c r="J8" s="5">
        <v>41</v>
      </c>
      <c r="K8" s="5">
        <v>10</v>
      </c>
    </row>
    <row r="9" spans="1:11" ht="15.75" customHeight="1" x14ac:dyDescent="0.25">
      <c r="A9" s="3"/>
      <c r="B9" s="3"/>
    </row>
    <row r="10" spans="1:11" ht="15.75" customHeight="1" x14ac:dyDescent="0.25">
      <c r="A10" s="8" t="s">
        <v>7</v>
      </c>
      <c r="B10" s="8" t="s">
        <v>19</v>
      </c>
      <c r="C10" s="8" t="s">
        <v>20</v>
      </c>
    </row>
    <row r="11" spans="1:11" ht="15.75" customHeight="1" x14ac:dyDescent="0.25">
      <c r="A11" s="11" t="s">
        <v>15</v>
      </c>
      <c r="B11" s="11">
        <v>10</v>
      </c>
      <c r="C11" s="11" t="str">
        <f>A2&amp;"."&amp;A2&amp;"."&amp;A2&amp;"."&amp;(B11)</f>
        <v>2.2.2.10</v>
      </c>
    </row>
    <row r="12" spans="1:11" ht="15.75" customHeight="1" x14ac:dyDescent="0.25">
      <c r="A12" s="11" t="s">
        <v>17</v>
      </c>
      <c r="B12" s="11">
        <v>20</v>
      </c>
      <c r="C12" s="11" t="str">
        <f>A2&amp;"."&amp;A2&amp;"."&amp;A2&amp;"."&amp;(B12)</f>
        <v>2.2.2.20</v>
      </c>
    </row>
    <row r="13" spans="1:11" ht="15.75" customHeight="1" x14ac:dyDescent="0.25">
      <c r="A13" s="11" t="s">
        <v>18</v>
      </c>
      <c r="B13" s="11">
        <v>30</v>
      </c>
      <c r="C13" s="11" t="str">
        <f>A2&amp;"."&amp;A2&amp;"."&amp;A2&amp;"."&amp;(B13)</f>
        <v>2.2.2.30</v>
      </c>
    </row>
    <row r="14" spans="1:11" ht="15.75" customHeight="1" x14ac:dyDescent="0.25">
      <c r="A14" s="11" t="s">
        <v>51</v>
      </c>
      <c r="B14" s="11">
        <v>40</v>
      </c>
      <c r="C14" s="11" t="str">
        <f t="shared" ref="C14" si="2">$A$2&amp;"."&amp;$A$2&amp;"."&amp;$A$2&amp;"."&amp;(B14)</f>
        <v>2.2.2.40</v>
      </c>
    </row>
    <row r="15" spans="1:11" ht="15.75" customHeight="1" x14ac:dyDescent="0.25"/>
    <row r="16" spans="1:11" ht="15.75" customHeight="1" x14ac:dyDescent="0.25">
      <c r="A16" s="8" t="s">
        <v>21</v>
      </c>
      <c r="B16" s="8" t="s">
        <v>7</v>
      </c>
      <c r="C16" s="8" t="s">
        <v>22</v>
      </c>
      <c r="D16" s="8" t="s">
        <v>12</v>
      </c>
      <c r="E16" s="8" t="s">
        <v>23</v>
      </c>
      <c r="F16" s="9" t="s">
        <v>24</v>
      </c>
      <c r="G16" s="9" t="s">
        <v>25</v>
      </c>
      <c r="H16" s="4" t="s">
        <v>26</v>
      </c>
      <c r="I16" s="4" t="s">
        <v>27</v>
      </c>
      <c r="J16" s="4" t="s">
        <v>28</v>
      </c>
    </row>
    <row r="17" spans="1:10" ht="15.75" customHeight="1" x14ac:dyDescent="0.25">
      <c r="A17" s="11" t="s">
        <v>29</v>
      </c>
      <c r="B17" s="11" t="s">
        <v>15</v>
      </c>
      <c r="C17" s="11" t="str">
        <f>172&amp;"."&amp;16&amp;"."&amp;0&amp;"."&amp;(H17+$A$2)</f>
        <v>172.16.0.12</v>
      </c>
      <c r="D17" s="11" t="s">
        <v>30</v>
      </c>
      <c r="E17" s="11" t="str">
        <f t="shared" ref="E17:E20" si="3">$C$2</f>
        <v>2.2.2.0</v>
      </c>
      <c r="F17" s="11"/>
      <c r="G17" s="11" t="s">
        <v>31</v>
      </c>
      <c r="H17" s="2">
        <v>10</v>
      </c>
      <c r="I17" s="2">
        <f t="array" ref="I17">_xlfn.XLOOKUP(1,( 'Site 1 (HUB)'!A:A=A17 )*( 'Site 1 (HUB)'!B:B=B17 ),'Site 1 (HUB)'!I:I)</f>
        <v>0</v>
      </c>
      <c r="J17" s="2"/>
    </row>
    <row r="18" spans="1:10" ht="15.75" customHeight="1" x14ac:dyDescent="0.25">
      <c r="A18" s="11" t="s">
        <v>45</v>
      </c>
      <c r="B18" s="11" t="s">
        <v>17</v>
      </c>
      <c r="C18" s="11" t="str">
        <f>172&amp;"."&amp;16&amp;"."&amp;0&amp;"."&amp;(H18+$A$2)</f>
        <v>172.16.0.22</v>
      </c>
      <c r="D18" s="11" t="s">
        <v>30</v>
      </c>
      <c r="E18" s="11" t="str">
        <f t="shared" si="3"/>
        <v>2.2.2.0</v>
      </c>
      <c r="F18" s="11"/>
      <c r="G18" s="11" t="s">
        <v>31</v>
      </c>
      <c r="H18" s="2">
        <v>20</v>
      </c>
      <c r="I18" s="2" cm="1">
        <f t="array" ref="I18">_xlfn.XLOOKUP(1,( 'Site 1 (HUB)'!A:A=A18 )*( 'Site 1 (HUB)'!B:B=B18 ),'Site 1 (HUB)'!I:I)</f>
        <v>0</v>
      </c>
      <c r="J18" s="2"/>
    </row>
    <row r="19" spans="1:10" ht="15.75" customHeight="1" x14ac:dyDescent="0.25">
      <c r="A19" s="11" t="s">
        <v>32</v>
      </c>
      <c r="B19" s="11" t="s">
        <v>18</v>
      </c>
      <c r="C19" s="11" t="str">
        <f>172&amp;"."&amp;16&amp;"."&amp;0&amp;"."&amp;(H19+$A$2)</f>
        <v>172.16.0.32</v>
      </c>
      <c r="D19" s="11" t="s">
        <v>30</v>
      </c>
      <c r="E19" s="11" t="str">
        <f t="shared" si="3"/>
        <v>2.2.2.0</v>
      </c>
      <c r="F19" s="11"/>
      <c r="G19" s="11" t="s">
        <v>31</v>
      </c>
      <c r="H19" s="2">
        <v>30</v>
      </c>
      <c r="I19" s="2" t="b">
        <f t="array" ref="I19">_xlfn.XLOOKUP(1,( 'Site 1 (HUB)'!A:A=A19 )*( 'Site 1 (HUB)'!B:B=B19 ),'Site 1 (HUB)'!I:I)</f>
        <v>1</v>
      </c>
      <c r="J19" s="2"/>
    </row>
    <row r="20" spans="1:10" ht="15.75" customHeight="1" x14ac:dyDescent="0.25">
      <c r="A20" s="11" t="s">
        <v>52</v>
      </c>
      <c r="B20" s="11" t="s">
        <v>51</v>
      </c>
      <c r="C20" s="11" t="str">
        <f t="shared" ref="C20" si="4">172&amp;"."&amp;16&amp;"."&amp;0&amp;"."&amp;(H20+$A$2)</f>
        <v>172.16.0.42</v>
      </c>
      <c r="D20" s="11" t="s">
        <v>30</v>
      </c>
      <c r="E20" s="14" t="str">
        <f t="shared" si="3"/>
        <v>2.2.2.0</v>
      </c>
      <c r="F20" s="11"/>
      <c r="G20" s="11" t="s">
        <v>31</v>
      </c>
      <c r="H20" s="2">
        <v>40</v>
      </c>
      <c r="I20" s="2" t="b">
        <v>1</v>
      </c>
      <c r="J20" s="2"/>
    </row>
    <row r="21" spans="1:10" ht="15.75" customHeight="1" x14ac:dyDescent="0.25"/>
    <row r="22" spans="1:10" ht="16.5" customHeight="1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43</v>
      </c>
    </row>
    <row r="23" spans="1:10" ht="15.75" customHeight="1" x14ac:dyDescent="0.25">
      <c r="A23" s="2">
        <f>A2</f>
        <v>2</v>
      </c>
      <c r="B23" s="2" t="s">
        <v>6</v>
      </c>
      <c r="C23" s="2" t="s">
        <v>44</v>
      </c>
      <c r="D23" s="2" t="s">
        <v>55</v>
      </c>
      <c r="E23" s="2" t="s">
        <v>44</v>
      </c>
    </row>
    <row r="24" spans="1:10" ht="15.75" customHeight="1" x14ac:dyDescent="0.25"/>
    <row r="25" spans="1:10" ht="15.75" customHeight="1" x14ac:dyDescent="0.25">
      <c r="A25" s="8" t="s">
        <v>35</v>
      </c>
      <c r="B25" s="8" t="s">
        <v>36</v>
      </c>
      <c r="C25" s="8" t="s">
        <v>37</v>
      </c>
      <c r="D25" s="8" t="s">
        <v>11</v>
      </c>
      <c r="E25" s="8" t="s">
        <v>12</v>
      </c>
      <c r="F25" s="8" t="s">
        <v>39</v>
      </c>
      <c r="G25" s="5" t="s">
        <v>49</v>
      </c>
      <c r="H25" s="8" t="s">
        <v>38</v>
      </c>
      <c r="I25" s="1" t="s">
        <v>1</v>
      </c>
      <c r="J25" s="1" t="s">
        <v>41</v>
      </c>
    </row>
    <row r="26" spans="1:10" ht="15.75" customHeight="1" x14ac:dyDescent="0.25">
      <c r="A26" s="11">
        <f>(ROW())-(ROW()-1)</f>
        <v>1</v>
      </c>
      <c r="B26" s="11">
        <v>10</v>
      </c>
      <c r="C26" s="11" t="str">
        <f>LEFT($G$5,LEN($G$5)-1)&amp;(RIGHT($G$5,1)+A26)</f>
        <v>10.12.0.2</v>
      </c>
      <c r="D26" s="11" t="str">
        <f>$E$5</f>
        <v>10.12.0.1</v>
      </c>
      <c r="E26" s="11" t="str">
        <f>$F$5</f>
        <v>255.255.0.0</v>
      </c>
      <c r="F26" s="11">
        <v>41</v>
      </c>
      <c r="G26" s="15">
        <v>0</v>
      </c>
      <c r="H26" s="11" t="s">
        <v>54</v>
      </c>
      <c r="I26" s="2" t="s">
        <v>56</v>
      </c>
      <c r="J26" s="2">
        <f>$F26-$G26-2</f>
        <v>39</v>
      </c>
    </row>
    <row r="27" spans="1:10" ht="15.75" customHeight="1" x14ac:dyDescent="0.25"/>
    <row r="28" spans="1:10" ht="15.75" customHeight="1" x14ac:dyDescent="0.25"/>
    <row r="29" spans="1:10" ht="15.75" customHeight="1" x14ac:dyDescent="0.25"/>
    <row r="30" spans="1:10" ht="15.75" customHeight="1" x14ac:dyDescent="0.25"/>
    <row r="31" spans="1:10" ht="15.75" customHeight="1" x14ac:dyDescent="0.25"/>
    <row r="32" spans="1:10" ht="15.75" customHeight="1" x14ac:dyDescent="0.25"/>
    <row r="33" s="5" customFormat="1" ht="15.75" customHeight="1" x14ac:dyDescent="0.25"/>
    <row r="34" s="5" customFormat="1" ht="15.75" customHeight="1" x14ac:dyDescent="0.25"/>
    <row r="35" s="5" customFormat="1" ht="15.75" customHeight="1" x14ac:dyDescent="0.25"/>
    <row r="36" s="5" customFormat="1" ht="15.75" customHeight="1" x14ac:dyDescent="0.25"/>
    <row r="37" s="5" customFormat="1" ht="15.75" customHeight="1" x14ac:dyDescent="0.25"/>
    <row r="38" s="5" customFormat="1" ht="15.75" customHeight="1" x14ac:dyDescent="0.25"/>
    <row r="39" s="5" customFormat="1" ht="15.75" customHeight="1" x14ac:dyDescent="0.25"/>
    <row r="40" s="5" customFormat="1" ht="15.75" customHeight="1" x14ac:dyDescent="0.25"/>
    <row r="41" s="5" customFormat="1" ht="15.75" customHeight="1" x14ac:dyDescent="0.25"/>
    <row r="42" s="5" customFormat="1" ht="15.75" customHeight="1" x14ac:dyDescent="0.25"/>
    <row r="43" s="5" customFormat="1" ht="15.75" customHeight="1" x14ac:dyDescent="0.25"/>
    <row r="44" s="5" customFormat="1" ht="15.75" customHeight="1" x14ac:dyDescent="0.25"/>
    <row r="45" s="5" customFormat="1" ht="15.75" customHeight="1" x14ac:dyDescent="0.25"/>
    <row r="46" s="5" customFormat="1" ht="15.75" customHeight="1" x14ac:dyDescent="0.25"/>
    <row r="47" s="5" customFormat="1" ht="15.75" customHeight="1" x14ac:dyDescent="0.25"/>
    <row r="48" s="5" customFormat="1" ht="15.75" customHeight="1" x14ac:dyDescent="0.25"/>
    <row r="49" s="5" customFormat="1" ht="15.75" customHeight="1" x14ac:dyDescent="0.25"/>
    <row r="50" s="5" customFormat="1" ht="15.75" customHeight="1" x14ac:dyDescent="0.25"/>
    <row r="51" s="5" customFormat="1" ht="15.75" customHeight="1" x14ac:dyDescent="0.25"/>
    <row r="52" s="5" customFormat="1" ht="15.75" customHeight="1" x14ac:dyDescent="0.25"/>
    <row r="53" s="5" customFormat="1" ht="15.75" customHeight="1" x14ac:dyDescent="0.25"/>
    <row r="54" s="5" customFormat="1" ht="15.75" customHeight="1" x14ac:dyDescent="0.25"/>
    <row r="55" s="5" customFormat="1" ht="15.75" customHeight="1" x14ac:dyDescent="0.25"/>
    <row r="56" s="5" customFormat="1" ht="15.75" customHeight="1" x14ac:dyDescent="0.25"/>
    <row r="57" s="5" customFormat="1" ht="15.75" customHeight="1" x14ac:dyDescent="0.25"/>
    <row r="58" s="5" customFormat="1" ht="15.75" customHeight="1" x14ac:dyDescent="0.25"/>
    <row r="59" s="5" customFormat="1" ht="15.75" customHeight="1" x14ac:dyDescent="0.25"/>
    <row r="60" s="5" customFormat="1" ht="15.75" customHeight="1" x14ac:dyDescent="0.25"/>
    <row r="61" s="5" customFormat="1" ht="15.75" customHeight="1" x14ac:dyDescent="0.25"/>
    <row r="62" s="5" customFormat="1" ht="15.75" customHeight="1" x14ac:dyDescent="0.25"/>
    <row r="63" s="5" customFormat="1" ht="15.75" customHeight="1" x14ac:dyDescent="0.25"/>
    <row r="64" s="5" customFormat="1" ht="15.75" customHeight="1" x14ac:dyDescent="0.25"/>
    <row r="65" s="5" customFormat="1" ht="15.75" customHeight="1" x14ac:dyDescent="0.25"/>
    <row r="66" s="5" customFormat="1" ht="15.75" customHeight="1" x14ac:dyDescent="0.25"/>
    <row r="67" s="5" customFormat="1" ht="15.75" customHeight="1" x14ac:dyDescent="0.25"/>
    <row r="68" s="5" customFormat="1" ht="15.75" customHeight="1" x14ac:dyDescent="0.25"/>
    <row r="69" s="5" customFormat="1" ht="15.75" customHeight="1" x14ac:dyDescent="0.25"/>
    <row r="70" s="5" customFormat="1" ht="15.75" customHeight="1" x14ac:dyDescent="0.25"/>
    <row r="71" s="5" customFormat="1" ht="15.75" customHeight="1" x14ac:dyDescent="0.25"/>
    <row r="72" s="5" customFormat="1" ht="15.75" customHeight="1" x14ac:dyDescent="0.25"/>
    <row r="73" s="5" customFormat="1" ht="15.75" customHeight="1" x14ac:dyDescent="0.25"/>
    <row r="74" s="5" customFormat="1" ht="15.75" customHeight="1" x14ac:dyDescent="0.25"/>
    <row r="75" s="5" customFormat="1" ht="15.75" customHeight="1" x14ac:dyDescent="0.25"/>
    <row r="76" s="5" customFormat="1" ht="15.75" customHeight="1" x14ac:dyDescent="0.25"/>
    <row r="77" s="5" customFormat="1" ht="15.75" customHeight="1" x14ac:dyDescent="0.25"/>
    <row r="78" s="5" customFormat="1" ht="15.75" customHeight="1" x14ac:dyDescent="0.25"/>
    <row r="79" s="5" customFormat="1" ht="15.75" customHeight="1" x14ac:dyDescent="0.25"/>
    <row r="80" s="5" customFormat="1" ht="15.75" customHeight="1" x14ac:dyDescent="0.25"/>
    <row r="81" s="5" customFormat="1" ht="15.75" customHeight="1" x14ac:dyDescent="0.25"/>
    <row r="82" s="5" customFormat="1" ht="15.75" customHeight="1" x14ac:dyDescent="0.25"/>
    <row r="83" s="5" customFormat="1" ht="15.75" customHeight="1" x14ac:dyDescent="0.25"/>
    <row r="84" s="5" customFormat="1" ht="15.75" customHeight="1" x14ac:dyDescent="0.25"/>
    <row r="85" s="5" customFormat="1" ht="15.75" customHeight="1" x14ac:dyDescent="0.25"/>
    <row r="86" s="5" customFormat="1" ht="15.75" customHeight="1" x14ac:dyDescent="0.25"/>
    <row r="87" s="5" customFormat="1" ht="15.75" customHeight="1" x14ac:dyDescent="0.25"/>
    <row r="88" s="5" customFormat="1" ht="15.75" customHeight="1" x14ac:dyDescent="0.25"/>
    <row r="89" s="5" customFormat="1" ht="15.75" customHeight="1" x14ac:dyDescent="0.25"/>
    <row r="90" s="5" customFormat="1" ht="15.75" customHeight="1" x14ac:dyDescent="0.25"/>
    <row r="91" s="5" customFormat="1" ht="15.75" customHeight="1" x14ac:dyDescent="0.25"/>
    <row r="92" s="5" customFormat="1" ht="15.75" customHeight="1" x14ac:dyDescent="0.25"/>
    <row r="93" s="5" customFormat="1" ht="15.75" customHeight="1" x14ac:dyDescent="0.25"/>
    <row r="94" s="5" customFormat="1" ht="15.75" customHeight="1" x14ac:dyDescent="0.25"/>
    <row r="95" s="5" customFormat="1" ht="15.75" customHeight="1" x14ac:dyDescent="0.25"/>
    <row r="96" s="5" customFormat="1" ht="15.75" customHeight="1" x14ac:dyDescent="0.25"/>
    <row r="97" s="5" customFormat="1" ht="15.75" customHeight="1" x14ac:dyDescent="0.25"/>
    <row r="98" s="5" customFormat="1" ht="15.75" customHeight="1" x14ac:dyDescent="0.25"/>
    <row r="99" s="5" customFormat="1" ht="15.75" customHeight="1" x14ac:dyDescent="0.25"/>
    <row r="100" s="5" customFormat="1" ht="15.75" customHeight="1" x14ac:dyDescent="0.25"/>
    <row r="101" s="5" customFormat="1" ht="15.75" customHeight="1" x14ac:dyDescent="0.25"/>
    <row r="102" s="5" customFormat="1" ht="15.75" customHeight="1" x14ac:dyDescent="0.25"/>
    <row r="103" s="5" customFormat="1" ht="15.75" customHeight="1" x14ac:dyDescent="0.25"/>
    <row r="104" s="5" customFormat="1" ht="15.75" customHeight="1" x14ac:dyDescent="0.25"/>
    <row r="105" s="5" customFormat="1" ht="15.75" customHeight="1" x14ac:dyDescent="0.25"/>
    <row r="106" s="5" customFormat="1" ht="15.75" customHeight="1" x14ac:dyDescent="0.25"/>
    <row r="107" s="5" customFormat="1" ht="15.75" customHeight="1" x14ac:dyDescent="0.25"/>
    <row r="108" s="5" customFormat="1" ht="15.75" customHeight="1" x14ac:dyDescent="0.25"/>
    <row r="109" s="5" customFormat="1" ht="15.75" customHeight="1" x14ac:dyDescent="0.25"/>
    <row r="110" s="5" customFormat="1" ht="15.75" customHeight="1" x14ac:dyDescent="0.25"/>
    <row r="111" s="5" customFormat="1" ht="15.75" customHeight="1" x14ac:dyDescent="0.25"/>
    <row r="112" s="5" customFormat="1" ht="15.75" customHeight="1" x14ac:dyDescent="0.25"/>
    <row r="113" s="5" customFormat="1" ht="15.75" customHeight="1" x14ac:dyDescent="0.25"/>
    <row r="114" s="5" customFormat="1" ht="15.75" customHeight="1" x14ac:dyDescent="0.25"/>
    <row r="115" s="5" customFormat="1" ht="15.75" customHeight="1" x14ac:dyDescent="0.25"/>
    <row r="116" s="5" customFormat="1" ht="15.75" customHeight="1" x14ac:dyDescent="0.25"/>
    <row r="117" s="5" customFormat="1" ht="15.75" customHeight="1" x14ac:dyDescent="0.25"/>
    <row r="118" s="5" customFormat="1" ht="15.75" customHeight="1" x14ac:dyDescent="0.25"/>
    <row r="119" s="5" customFormat="1" ht="15.75" customHeight="1" x14ac:dyDescent="0.25"/>
    <row r="120" s="5" customFormat="1" ht="15.75" customHeight="1" x14ac:dyDescent="0.25"/>
    <row r="121" s="5" customFormat="1" ht="15.75" customHeight="1" x14ac:dyDescent="0.25"/>
    <row r="122" s="5" customFormat="1" ht="15.75" customHeight="1" x14ac:dyDescent="0.25"/>
    <row r="123" s="5" customFormat="1" ht="15.75" customHeight="1" x14ac:dyDescent="0.25"/>
    <row r="124" s="5" customFormat="1" ht="15.75" customHeight="1" x14ac:dyDescent="0.25"/>
    <row r="125" s="5" customFormat="1" ht="15.75" customHeight="1" x14ac:dyDescent="0.25"/>
    <row r="126" s="5" customFormat="1" ht="15.75" customHeight="1" x14ac:dyDescent="0.25"/>
    <row r="127" s="5" customFormat="1" ht="15.75" customHeight="1" x14ac:dyDescent="0.25"/>
    <row r="128" s="5" customFormat="1" ht="15.75" customHeight="1" x14ac:dyDescent="0.25"/>
    <row r="129" s="5" customFormat="1" ht="15.75" customHeight="1" x14ac:dyDescent="0.25"/>
    <row r="130" s="5" customFormat="1" ht="15.75" customHeight="1" x14ac:dyDescent="0.25"/>
    <row r="131" s="5" customFormat="1" ht="15.75" customHeight="1" x14ac:dyDescent="0.25"/>
    <row r="132" s="5" customFormat="1" ht="15.75" customHeight="1" x14ac:dyDescent="0.25"/>
    <row r="133" s="5" customFormat="1" ht="15.75" customHeight="1" x14ac:dyDescent="0.25"/>
    <row r="134" s="5" customFormat="1" ht="15.75" customHeight="1" x14ac:dyDescent="0.25"/>
    <row r="135" s="5" customFormat="1" ht="15.75" customHeight="1" x14ac:dyDescent="0.25"/>
    <row r="136" s="5" customFormat="1" ht="15.75" customHeight="1" x14ac:dyDescent="0.25"/>
    <row r="137" s="5" customFormat="1" ht="15.75" customHeight="1" x14ac:dyDescent="0.25"/>
    <row r="138" s="5" customFormat="1" ht="15.75" customHeight="1" x14ac:dyDescent="0.25"/>
    <row r="139" s="5" customFormat="1" ht="15.75" customHeight="1" x14ac:dyDescent="0.25"/>
    <row r="140" s="5" customFormat="1" ht="15.75" customHeight="1" x14ac:dyDescent="0.25"/>
    <row r="141" s="5" customFormat="1" ht="15.75" customHeight="1" x14ac:dyDescent="0.25"/>
    <row r="142" s="5" customFormat="1" ht="15.75" customHeight="1" x14ac:dyDescent="0.25"/>
    <row r="143" s="5" customFormat="1" ht="15.75" customHeight="1" x14ac:dyDescent="0.25"/>
    <row r="144" s="5" customFormat="1" ht="15.75" customHeight="1" x14ac:dyDescent="0.25"/>
    <row r="145" s="5" customFormat="1" ht="15.75" customHeight="1" x14ac:dyDescent="0.25"/>
    <row r="146" s="5" customFormat="1" ht="15.75" customHeight="1" x14ac:dyDescent="0.25"/>
    <row r="147" s="5" customFormat="1" ht="15.75" customHeight="1" x14ac:dyDescent="0.25"/>
    <row r="148" s="5" customFormat="1" ht="15.75" customHeight="1" x14ac:dyDescent="0.25"/>
    <row r="149" s="5" customFormat="1" ht="15.75" customHeight="1" x14ac:dyDescent="0.25"/>
    <row r="150" s="5" customFormat="1" ht="15.75" customHeight="1" x14ac:dyDescent="0.25"/>
    <row r="151" s="5" customFormat="1" ht="15.75" customHeight="1" x14ac:dyDescent="0.25"/>
    <row r="152" s="5" customFormat="1" ht="15.75" customHeight="1" x14ac:dyDescent="0.25"/>
    <row r="153" s="5" customFormat="1" ht="15.75" customHeight="1" x14ac:dyDescent="0.25"/>
    <row r="154" s="5" customFormat="1" ht="15.75" customHeight="1" x14ac:dyDescent="0.25"/>
    <row r="155" s="5" customFormat="1" ht="15.75" customHeight="1" x14ac:dyDescent="0.25"/>
    <row r="156" s="5" customFormat="1" ht="15.75" customHeight="1" x14ac:dyDescent="0.25"/>
    <row r="157" s="5" customFormat="1" ht="15.75" customHeight="1" x14ac:dyDescent="0.25"/>
    <row r="158" s="5" customFormat="1" ht="15.75" customHeight="1" x14ac:dyDescent="0.25"/>
    <row r="159" s="5" customFormat="1" ht="15.75" customHeight="1" x14ac:dyDescent="0.25"/>
    <row r="160" s="5" customFormat="1" ht="15.75" customHeight="1" x14ac:dyDescent="0.25"/>
    <row r="161" s="5" customFormat="1" ht="15.75" customHeight="1" x14ac:dyDescent="0.25"/>
    <row r="162" s="5" customFormat="1" ht="15.75" customHeight="1" x14ac:dyDescent="0.25"/>
    <row r="163" s="5" customFormat="1" ht="15.75" customHeight="1" x14ac:dyDescent="0.25"/>
    <row r="164" s="5" customFormat="1" ht="15.75" customHeight="1" x14ac:dyDescent="0.25"/>
    <row r="165" s="5" customFormat="1" ht="15.75" customHeight="1" x14ac:dyDescent="0.25"/>
    <row r="166" s="5" customFormat="1" ht="15.75" customHeight="1" x14ac:dyDescent="0.25"/>
    <row r="167" s="5" customFormat="1" ht="15.75" customHeight="1" x14ac:dyDescent="0.25"/>
    <row r="168" s="5" customFormat="1" ht="15.75" customHeight="1" x14ac:dyDescent="0.25"/>
    <row r="169" s="5" customFormat="1" ht="15.75" customHeight="1" x14ac:dyDescent="0.25"/>
    <row r="170" s="5" customFormat="1" ht="15.75" customHeight="1" x14ac:dyDescent="0.25"/>
    <row r="171" s="5" customFormat="1" ht="15.75" customHeight="1" x14ac:dyDescent="0.25"/>
    <row r="172" s="5" customFormat="1" ht="15.75" customHeight="1" x14ac:dyDescent="0.25"/>
    <row r="173" s="5" customFormat="1" ht="15.75" customHeight="1" x14ac:dyDescent="0.25"/>
    <row r="174" s="5" customFormat="1" ht="15.75" customHeight="1" x14ac:dyDescent="0.25"/>
    <row r="175" s="5" customFormat="1" ht="15.75" customHeight="1" x14ac:dyDescent="0.25"/>
    <row r="176" s="5" customFormat="1" ht="15.75" customHeight="1" x14ac:dyDescent="0.25"/>
    <row r="177" s="5" customFormat="1" ht="15.75" customHeight="1" x14ac:dyDescent="0.25"/>
    <row r="178" s="5" customFormat="1" ht="15.75" customHeight="1" x14ac:dyDescent="0.25"/>
    <row r="179" s="5" customFormat="1" ht="15.75" customHeight="1" x14ac:dyDescent="0.25"/>
    <row r="180" s="5" customFormat="1" ht="15.75" customHeight="1" x14ac:dyDescent="0.25"/>
    <row r="181" s="5" customFormat="1" ht="15.75" customHeight="1" x14ac:dyDescent="0.25"/>
    <row r="182" s="5" customFormat="1" ht="15.75" customHeight="1" x14ac:dyDescent="0.25"/>
    <row r="183" s="5" customFormat="1" ht="15.75" customHeight="1" x14ac:dyDescent="0.25"/>
    <row r="184" s="5" customFormat="1" ht="15.75" customHeight="1" x14ac:dyDescent="0.25"/>
    <row r="185" s="5" customFormat="1" ht="15.75" customHeight="1" x14ac:dyDescent="0.25"/>
    <row r="186" s="5" customFormat="1" ht="15.75" customHeight="1" x14ac:dyDescent="0.25"/>
    <row r="187" s="5" customFormat="1" ht="15.75" customHeight="1" x14ac:dyDescent="0.25"/>
    <row r="188" s="5" customFormat="1" ht="15.75" customHeight="1" x14ac:dyDescent="0.25"/>
    <row r="189" s="5" customFormat="1" ht="15.75" customHeight="1" x14ac:dyDescent="0.25"/>
    <row r="190" s="5" customFormat="1" ht="15.75" customHeight="1" x14ac:dyDescent="0.25"/>
    <row r="191" s="5" customFormat="1" ht="15.75" customHeight="1" x14ac:dyDescent="0.25"/>
    <row r="192" s="5" customFormat="1" ht="15.75" customHeight="1" x14ac:dyDescent="0.25"/>
    <row r="193" s="5" customFormat="1" ht="15.75" customHeight="1" x14ac:dyDescent="0.25"/>
    <row r="194" s="5" customFormat="1" ht="15.75" customHeight="1" x14ac:dyDescent="0.25"/>
    <row r="195" s="5" customFormat="1" ht="15.75" customHeight="1" x14ac:dyDescent="0.25"/>
    <row r="196" s="5" customFormat="1" ht="15.75" customHeight="1" x14ac:dyDescent="0.25"/>
    <row r="197" s="5" customFormat="1" ht="15.75" customHeight="1" x14ac:dyDescent="0.25"/>
    <row r="198" s="5" customFormat="1" ht="15.75" customHeight="1" x14ac:dyDescent="0.25"/>
    <row r="199" s="5" customFormat="1" ht="15.75" customHeight="1" x14ac:dyDescent="0.25"/>
    <row r="200" s="5" customFormat="1" ht="15.75" customHeight="1" x14ac:dyDescent="0.25"/>
    <row r="201" s="5" customFormat="1" ht="15.75" customHeight="1" x14ac:dyDescent="0.25"/>
    <row r="202" s="5" customFormat="1" ht="15.75" customHeight="1" x14ac:dyDescent="0.25"/>
    <row r="203" s="5" customFormat="1" ht="15.75" customHeight="1" x14ac:dyDescent="0.25"/>
    <row r="204" s="5" customFormat="1" ht="15.75" customHeight="1" x14ac:dyDescent="0.25"/>
    <row r="205" s="5" customFormat="1" ht="15.75" customHeight="1" x14ac:dyDescent="0.25"/>
    <row r="206" s="5" customFormat="1" ht="15.75" customHeight="1" x14ac:dyDescent="0.25"/>
    <row r="207" s="5" customFormat="1" ht="15.75" customHeight="1" x14ac:dyDescent="0.25"/>
    <row r="208" s="5" customFormat="1" ht="15.75" customHeight="1" x14ac:dyDescent="0.25"/>
    <row r="209" s="5" customFormat="1" ht="15.75" customHeight="1" x14ac:dyDescent="0.25"/>
    <row r="210" s="5" customFormat="1" ht="15.75" customHeight="1" x14ac:dyDescent="0.25"/>
    <row r="211" s="5" customFormat="1" ht="15.75" customHeight="1" x14ac:dyDescent="0.25"/>
    <row r="212" s="5" customFormat="1" ht="15.75" customHeight="1" x14ac:dyDescent="0.25"/>
    <row r="213" s="5" customFormat="1" ht="15.75" customHeight="1" x14ac:dyDescent="0.25"/>
    <row r="214" s="5" customFormat="1" ht="15.75" customHeight="1" x14ac:dyDescent="0.25"/>
    <row r="215" s="5" customFormat="1" ht="15.75" customHeight="1" x14ac:dyDescent="0.25"/>
    <row r="216" s="5" customFormat="1" ht="15.75" customHeight="1" x14ac:dyDescent="0.25"/>
    <row r="217" s="5" customFormat="1" ht="15.75" customHeight="1" x14ac:dyDescent="0.25"/>
    <row r="218" s="5" customFormat="1" ht="15.75" customHeight="1" x14ac:dyDescent="0.25"/>
    <row r="219" s="5" customFormat="1" ht="15.75" customHeight="1" x14ac:dyDescent="0.25"/>
    <row r="220" s="5" customFormat="1" ht="15.75" customHeight="1" x14ac:dyDescent="0.25"/>
    <row r="221" s="5" customFormat="1" ht="15.75" customHeight="1" x14ac:dyDescent="0.25"/>
    <row r="222" s="5" customFormat="1" ht="15.75" customHeight="1" x14ac:dyDescent="0.25"/>
    <row r="223" s="5" customFormat="1" ht="15.75" customHeight="1" x14ac:dyDescent="0.25"/>
    <row r="224" s="5" customFormat="1" ht="15.75" customHeight="1" x14ac:dyDescent="0.25"/>
    <row r="225" s="5" customFormat="1" ht="15.75" customHeight="1" x14ac:dyDescent="0.25"/>
    <row r="226" s="5" customFormat="1" ht="15.75" customHeight="1" x14ac:dyDescent="0.25"/>
    <row r="227" s="5" customFormat="1" ht="15.75" customHeight="1" x14ac:dyDescent="0.25"/>
    <row r="228" s="5" customFormat="1" ht="15.75" customHeight="1" x14ac:dyDescent="0.25"/>
    <row r="229" s="5" customFormat="1" ht="15.75" customHeight="1" x14ac:dyDescent="0.25"/>
    <row r="230" s="5" customFormat="1" ht="15.75" customHeight="1" x14ac:dyDescent="0.25"/>
    <row r="231" s="5" customFormat="1" ht="15.75" customHeight="1" x14ac:dyDescent="0.25"/>
    <row r="232" s="5" customFormat="1" ht="15.75" customHeight="1" x14ac:dyDescent="0.25"/>
    <row r="233" s="5" customFormat="1" ht="15.75" customHeight="1" x14ac:dyDescent="0.25"/>
    <row r="234" s="5" customFormat="1" ht="15.75" customHeight="1" x14ac:dyDescent="0.25"/>
    <row r="235" s="5" customFormat="1" ht="15.75" customHeight="1" x14ac:dyDescent="0.25"/>
    <row r="236" s="5" customFormat="1" ht="15.75" customHeight="1" x14ac:dyDescent="0.25"/>
    <row r="237" s="5" customFormat="1" ht="15.75" customHeight="1" x14ac:dyDescent="0.25"/>
    <row r="238" s="5" customFormat="1" ht="15.75" customHeight="1" x14ac:dyDescent="0.25"/>
    <row r="239" s="5" customFormat="1" ht="15.75" customHeight="1" x14ac:dyDescent="0.25"/>
    <row r="240" s="5" customFormat="1" ht="15.75" customHeight="1" x14ac:dyDescent="0.25"/>
    <row r="241" s="5" customFormat="1" ht="15.75" customHeight="1" x14ac:dyDescent="0.25"/>
    <row r="242" s="5" customFormat="1" ht="15.75" customHeight="1" x14ac:dyDescent="0.25"/>
    <row r="243" s="5" customFormat="1" ht="15.75" customHeight="1" x14ac:dyDescent="0.25"/>
    <row r="244" s="5" customFormat="1" ht="15.75" customHeight="1" x14ac:dyDescent="0.25"/>
    <row r="245" s="5" customFormat="1" ht="15.75" customHeight="1" x14ac:dyDescent="0.25"/>
    <row r="246" s="5" customFormat="1" ht="15.75" customHeight="1" x14ac:dyDescent="0.25"/>
    <row r="247" s="5" customFormat="1" ht="15.75" customHeight="1" x14ac:dyDescent="0.25"/>
    <row r="248" s="5" customFormat="1" ht="15.75" customHeight="1" x14ac:dyDescent="0.25"/>
    <row r="249" s="5" customFormat="1" ht="15.75" customHeight="1" x14ac:dyDescent="0.25"/>
    <row r="250" s="5" customFormat="1" ht="15.75" customHeight="1" x14ac:dyDescent="0.25"/>
    <row r="251" s="5" customFormat="1" ht="15.75" customHeight="1" x14ac:dyDescent="0.25"/>
    <row r="252" s="5" customFormat="1" ht="15.75" customHeight="1" x14ac:dyDescent="0.25"/>
    <row r="253" s="5" customFormat="1" ht="15.75" customHeight="1" x14ac:dyDescent="0.25"/>
    <row r="254" s="5" customFormat="1" ht="15.75" customHeight="1" x14ac:dyDescent="0.25"/>
    <row r="255" s="5" customFormat="1" ht="15.75" customHeight="1" x14ac:dyDescent="0.25"/>
    <row r="256" s="5" customFormat="1" ht="15.75" customHeight="1" x14ac:dyDescent="0.25"/>
    <row r="257" s="5" customFormat="1" ht="15.75" customHeight="1" x14ac:dyDescent="0.25"/>
    <row r="258" s="5" customFormat="1" ht="15.75" customHeight="1" x14ac:dyDescent="0.25"/>
    <row r="259" s="5" customFormat="1" ht="15.75" customHeight="1" x14ac:dyDescent="0.25"/>
    <row r="260" s="5" customFormat="1" ht="15.75" customHeight="1" x14ac:dyDescent="0.25"/>
    <row r="261" s="5" customFormat="1" ht="15.75" customHeight="1" x14ac:dyDescent="0.25"/>
    <row r="262" s="5" customFormat="1" ht="15.75" customHeight="1" x14ac:dyDescent="0.25"/>
    <row r="263" s="5" customFormat="1" ht="15.75" customHeight="1" x14ac:dyDescent="0.25"/>
    <row r="264" s="5" customFormat="1" ht="15.75" customHeight="1" x14ac:dyDescent="0.25"/>
    <row r="265" s="5" customFormat="1" ht="15.75" customHeight="1" x14ac:dyDescent="0.25"/>
    <row r="266" s="5" customFormat="1" ht="15.75" customHeight="1" x14ac:dyDescent="0.25"/>
    <row r="267" s="5" customFormat="1" ht="15.75" customHeight="1" x14ac:dyDescent="0.25"/>
    <row r="268" s="5" customFormat="1" ht="15.75" customHeight="1" x14ac:dyDescent="0.25"/>
    <row r="269" s="5" customFormat="1" ht="15.75" customHeight="1" x14ac:dyDescent="0.25"/>
    <row r="270" s="5" customFormat="1" ht="15.75" customHeight="1" x14ac:dyDescent="0.25"/>
    <row r="271" s="5" customFormat="1" ht="15.75" customHeight="1" x14ac:dyDescent="0.25"/>
    <row r="272" s="5" customFormat="1" ht="15.75" customHeight="1" x14ac:dyDescent="0.25"/>
    <row r="273" s="5" customFormat="1" ht="15.75" customHeight="1" x14ac:dyDescent="0.25"/>
    <row r="274" s="5" customFormat="1" ht="15.75" customHeight="1" x14ac:dyDescent="0.25"/>
    <row r="275" s="5" customFormat="1" ht="15.75" customHeight="1" x14ac:dyDescent="0.25"/>
    <row r="276" s="5" customFormat="1" ht="15.75" customHeight="1" x14ac:dyDescent="0.25"/>
    <row r="277" s="5" customFormat="1" ht="15.75" customHeight="1" x14ac:dyDescent="0.25"/>
    <row r="278" s="5" customFormat="1" ht="15.75" customHeight="1" x14ac:dyDescent="0.25"/>
    <row r="279" s="5" customFormat="1" ht="15.75" customHeight="1" x14ac:dyDescent="0.25"/>
    <row r="280" s="5" customFormat="1" ht="15.75" customHeight="1" x14ac:dyDescent="0.25"/>
    <row r="281" s="5" customFormat="1" ht="15.75" customHeight="1" x14ac:dyDescent="0.25"/>
    <row r="282" s="5" customFormat="1" ht="15.75" customHeight="1" x14ac:dyDescent="0.25"/>
    <row r="283" s="5" customFormat="1" ht="15.75" customHeight="1" x14ac:dyDescent="0.25"/>
    <row r="284" s="5" customFormat="1" ht="15.75" customHeight="1" x14ac:dyDescent="0.25"/>
    <row r="285" s="5" customFormat="1" ht="15.75" customHeight="1" x14ac:dyDescent="0.25"/>
    <row r="286" s="5" customFormat="1" ht="15.75" customHeight="1" x14ac:dyDescent="0.25"/>
    <row r="287" s="5" customFormat="1" ht="15.75" customHeight="1" x14ac:dyDescent="0.25"/>
    <row r="288" s="5" customFormat="1" ht="15.75" customHeight="1" x14ac:dyDescent="0.25"/>
    <row r="289" s="5" customFormat="1" ht="15.75" customHeight="1" x14ac:dyDescent="0.25"/>
    <row r="290" s="5" customFormat="1" ht="15.75" customHeight="1" x14ac:dyDescent="0.25"/>
    <row r="291" s="5" customFormat="1" ht="15.75" customHeight="1" x14ac:dyDescent="0.25"/>
    <row r="292" s="5" customFormat="1" ht="15.75" customHeight="1" x14ac:dyDescent="0.25"/>
    <row r="293" s="5" customFormat="1" ht="15.75" customHeight="1" x14ac:dyDescent="0.25"/>
    <row r="294" s="5" customFormat="1" ht="15.75" customHeight="1" x14ac:dyDescent="0.25"/>
    <row r="295" s="5" customFormat="1" ht="15.75" customHeight="1" x14ac:dyDescent="0.25"/>
    <row r="296" s="5" customFormat="1" ht="15.75" customHeight="1" x14ac:dyDescent="0.25"/>
    <row r="297" s="5" customFormat="1" ht="15.75" customHeight="1" x14ac:dyDescent="0.25"/>
    <row r="298" s="5" customFormat="1" ht="15.75" customHeight="1" x14ac:dyDescent="0.25"/>
    <row r="299" s="5" customFormat="1" ht="15.75" customHeight="1" x14ac:dyDescent="0.25"/>
    <row r="300" s="5" customFormat="1" ht="15.75" customHeight="1" x14ac:dyDescent="0.25"/>
    <row r="301" s="5" customFormat="1" ht="15.75" customHeight="1" x14ac:dyDescent="0.25"/>
    <row r="302" s="5" customFormat="1" ht="15.75" customHeight="1" x14ac:dyDescent="0.25"/>
    <row r="303" s="5" customFormat="1" ht="15.75" customHeight="1" x14ac:dyDescent="0.25"/>
    <row r="304" s="5" customFormat="1" ht="15.75" customHeight="1" x14ac:dyDescent="0.25"/>
    <row r="305" s="5" customFormat="1" ht="15.75" customHeight="1" x14ac:dyDescent="0.25"/>
    <row r="306" s="5" customFormat="1" ht="15.75" customHeight="1" x14ac:dyDescent="0.25"/>
    <row r="307" s="5" customFormat="1" ht="15.75" customHeight="1" x14ac:dyDescent="0.25"/>
    <row r="308" s="5" customFormat="1" ht="15.75" customHeight="1" x14ac:dyDescent="0.25"/>
    <row r="309" s="5" customFormat="1" ht="15.75" customHeight="1" x14ac:dyDescent="0.25"/>
    <row r="310" s="5" customFormat="1" ht="15.75" customHeight="1" x14ac:dyDescent="0.25"/>
    <row r="311" s="5" customFormat="1" ht="15.75" customHeight="1" x14ac:dyDescent="0.25"/>
    <row r="312" s="5" customFormat="1" ht="15.75" customHeight="1" x14ac:dyDescent="0.25"/>
    <row r="313" s="5" customFormat="1" ht="15.75" customHeight="1" x14ac:dyDescent="0.25"/>
    <row r="314" s="5" customFormat="1" ht="15.75" customHeight="1" x14ac:dyDescent="0.25"/>
    <row r="315" s="5" customFormat="1" ht="15.75" customHeight="1" x14ac:dyDescent="0.25"/>
    <row r="316" s="5" customFormat="1" ht="15.75" customHeight="1" x14ac:dyDescent="0.25"/>
    <row r="317" s="5" customFormat="1" ht="15.75" customHeight="1" x14ac:dyDescent="0.25"/>
    <row r="318" s="5" customFormat="1" ht="15.75" customHeight="1" x14ac:dyDescent="0.25"/>
    <row r="319" s="5" customFormat="1" ht="15.75" customHeight="1" x14ac:dyDescent="0.25"/>
    <row r="320" s="5" customFormat="1" ht="15.75" customHeight="1" x14ac:dyDescent="0.25"/>
    <row r="321" s="5" customFormat="1" ht="15.75" customHeight="1" x14ac:dyDescent="0.25"/>
    <row r="322" s="5" customFormat="1" ht="15.75" customHeight="1" x14ac:dyDescent="0.25"/>
    <row r="323" s="5" customFormat="1" ht="15.75" customHeight="1" x14ac:dyDescent="0.25"/>
    <row r="324" s="5" customFormat="1" ht="15.75" customHeight="1" x14ac:dyDescent="0.25"/>
    <row r="325" s="5" customFormat="1" ht="15.75" customHeight="1" x14ac:dyDescent="0.25"/>
    <row r="326" s="5" customFormat="1" ht="15.75" customHeight="1" x14ac:dyDescent="0.25"/>
    <row r="327" s="5" customFormat="1" ht="15.75" customHeight="1" x14ac:dyDescent="0.25"/>
    <row r="328" s="5" customFormat="1" ht="15.75" customHeight="1" x14ac:dyDescent="0.25"/>
    <row r="329" s="5" customFormat="1" ht="15.75" customHeight="1" x14ac:dyDescent="0.25"/>
    <row r="330" s="5" customFormat="1" ht="15.75" customHeight="1" x14ac:dyDescent="0.25"/>
    <row r="331" s="5" customFormat="1" ht="15.75" customHeight="1" x14ac:dyDescent="0.25"/>
    <row r="332" s="5" customFormat="1" ht="15.75" customHeight="1" x14ac:dyDescent="0.25"/>
    <row r="333" s="5" customFormat="1" ht="15.75" customHeight="1" x14ac:dyDescent="0.25"/>
    <row r="334" s="5" customFormat="1" ht="15.75" customHeight="1" x14ac:dyDescent="0.25"/>
    <row r="335" s="5" customFormat="1" ht="15.75" customHeight="1" x14ac:dyDescent="0.25"/>
    <row r="336" s="5" customFormat="1" ht="15.75" customHeight="1" x14ac:dyDescent="0.25"/>
    <row r="337" s="5" customFormat="1" ht="15.75" customHeight="1" x14ac:dyDescent="0.25"/>
    <row r="338" s="5" customFormat="1" ht="15.75" customHeight="1" x14ac:dyDescent="0.25"/>
    <row r="339" s="5" customFormat="1" ht="15.75" customHeight="1" x14ac:dyDescent="0.25"/>
    <row r="340" s="5" customFormat="1" ht="15.75" customHeight="1" x14ac:dyDescent="0.25"/>
    <row r="341" s="5" customFormat="1" ht="15.75" customHeight="1" x14ac:dyDescent="0.25"/>
    <row r="342" s="5" customFormat="1" ht="15.75" customHeight="1" x14ac:dyDescent="0.25"/>
    <row r="343" s="5" customFormat="1" ht="15.75" customHeight="1" x14ac:dyDescent="0.25"/>
    <row r="344" s="5" customFormat="1" ht="15.75" customHeight="1" x14ac:dyDescent="0.25"/>
    <row r="345" s="5" customFormat="1" ht="15.75" customHeight="1" x14ac:dyDescent="0.25"/>
    <row r="346" s="5" customFormat="1" ht="15.75" customHeight="1" x14ac:dyDescent="0.25"/>
    <row r="347" s="5" customFormat="1" ht="15.75" customHeight="1" x14ac:dyDescent="0.25"/>
    <row r="348" s="5" customFormat="1" ht="15.75" customHeight="1" x14ac:dyDescent="0.25"/>
    <row r="349" s="5" customFormat="1" ht="15.75" customHeight="1" x14ac:dyDescent="0.25"/>
    <row r="350" s="5" customFormat="1" ht="15.75" customHeight="1" x14ac:dyDescent="0.25"/>
    <row r="351" s="5" customFormat="1" ht="15.75" customHeight="1" x14ac:dyDescent="0.25"/>
    <row r="352" s="5" customFormat="1" ht="15.75" customHeight="1" x14ac:dyDescent="0.25"/>
    <row r="353" s="5" customFormat="1" ht="15.75" customHeight="1" x14ac:dyDescent="0.25"/>
    <row r="354" s="5" customFormat="1" ht="15.75" customHeight="1" x14ac:dyDescent="0.25"/>
    <row r="355" s="5" customFormat="1" ht="15.75" customHeight="1" x14ac:dyDescent="0.25"/>
    <row r="356" s="5" customFormat="1" ht="15.75" customHeight="1" x14ac:dyDescent="0.25"/>
    <row r="357" s="5" customFormat="1" ht="15.75" customHeight="1" x14ac:dyDescent="0.25"/>
    <row r="358" s="5" customFormat="1" ht="15.75" customHeight="1" x14ac:dyDescent="0.25"/>
    <row r="359" s="5" customFormat="1" ht="15.75" customHeight="1" x14ac:dyDescent="0.25"/>
    <row r="360" s="5" customFormat="1" ht="15.75" customHeight="1" x14ac:dyDescent="0.25"/>
    <row r="361" s="5" customFormat="1" ht="15.75" customHeight="1" x14ac:dyDescent="0.25"/>
    <row r="362" s="5" customFormat="1" ht="15.75" customHeight="1" x14ac:dyDescent="0.25"/>
    <row r="363" s="5" customFormat="1" ht="15.75" customHeight="1" x14ac:dyDescent="0.25"/>
    <row r="364" s="5" customFormat="1" ht="15.75" customHeight="1" x14ac:dyDescent="0.25"/>
    <row r="365" s="5" customFormat="1" ht="15.75" customHeight="1" x14ac:dyDescent="0.25"/>
    <row r="366" s="5" customFormat="1" ht="15.75" customHeight="1" x14ac:dyDescent="0.25"/>
    <row r="367" s="5" customFormat="1" ht="15.75" customHeight="1" x14ac:dyDescent="0.25"/>
    <row r="368" s="5" customFormat="1" ht="15.75" customHeight="1" x14ac:dyDescent="0.25"/>
    <row r="369" s="5" customFormat="1" ht="15.75" customHeight="1" x14ac:dyDescent="0.25"/>
    <row r="370" s="5" customFormat="1" ht="15.75" customHeight="1" x14ac:dyDescent="0.25"/>
    <row r="371" s="5" customFormat="1" ht="15.75" customHeight="1" x14ac:dyDescent="0.25"/>
    <row r="372" s="5" customFormat="1" ht="15.75" customHeight="1" x14ac:dyDescent="0.25"/>
    <row r="373" s="5" customFormat="1" ht="15.75" customHeight="1" x14ac:dyDescent="0.25"/>
    <row r="374" s="5" customFormat="1" ht="15.75" customHeight="1" x14ac:dyDescent="0.25"/>
    <row r="375" s="5" customFormat="1" ht="15.75" customHeight="1" x14ac:dyDescent="0.25"/>
    <row r="376" s="5" customFormat="1" ht="15.75" customHeight="1" x14ac:dyDescent="0.25"/>
    <row r="377" s="5" customFormat="1" ht="15.75" customHeight="1" x14ac:dyDescent="0.25"/>
    <row r="378" s="5" customFormat="1" ht="15.75" customHeight="1" x14ac:dyDescent="0.25"/>
    <row r="379" s="5" customFormat="1" ht="15.75" customHeight="1" x14ac:dyDescent="0.25"/>
    <row r="380" s="5" customFormat="1" ht="15.75" customHeight="1" x14ac:dyDescent="0.25"/>
    <row r="381" s="5" customFormat="1" ht="15.75" customHeight="1" x14ac:dyDescent="0.25"/>
    <row r="382" s="5" customFormat="1" ht="15.75" customHeight="1" x14ac:dyDescent="0.25"/>
    <row r="383" s="5" customFormat="1" ht="15.75" customHeight="1" x14ac:dyDescent="0.25"/>
    <row r="384" s="5" customFormat="1" ht="15.75" customHeight="1" x14ac:dyDescent="0.25"/>
    <row r="385" s="5" customFormat="1" ht="15.75" customHeight="1" x14ac:dyDescent="0.25"/>
    <row r="386" s="5" customFormat="1" ht="15.75" customHeight="1" x14ac:dyDescent="0.25"/>
    <row r="387" s="5" customFormat="1" ht="15.75" customHeight="1" x14ac:dyDescent="0.25"/>
    <row r="388" s="5" customFormat="1" ht="15.75" customHeight="1" x14ac:dyDescent="0.25"/>
    <row r="389" s="5" customFormat="1" ht="15.75" customHeight="1" x14ac:dyDescent="0.25"/>
    <row r="390" s="5" customFormat="1" ht="15.75" customHeight="1" x14ac:dyDescent="0.25"/>
    <row r="391" s="5" customFormat="1" ht="15.75" customHeight="1" x14ac:dyDescent="0.25"/>
    <row r="392" s="5" customFormat="1" ht="15.75" customHeight="1" x14ac:dyDescent="0.25"/>
    <row r="393" s="5" customFormat="1" ht="15.75" customHeight="1" x14ac:dyDescent="0.25"/>
    <row r="394" s="5" customFormat="1" ht="15.75" customHeight="1" x14ac:dyDescent="0.25"/>
    <row r="395" s="5" customFormat="1" ht="15.75" customHeight="1" x14ac:dyDescent="0.25"/>
    <row r="396" s="5" customFormat="1" ht="15.75" customHeight="1" x14ac:dyDescent="0.25"/>
    <row r="397" s="5" customFormat="1" ht="15.75" customHeight="1" x14ac:dyDescent="0.25"/>
    <row r="398" s="5" customFormat="1" ht="15.75" customHeight="1" x14ac:dyDescent="0.25"/>
    <row r="399" s="5" customFormat="1" ht="15.75" customHeight="1" x14ac:dyDescent="0.25"/>
    <row r="400" s="5" customFormat="1" ht="15.75" customHeight="1" x14ac:dyDescent="0.25"/>
    <row r="401" s="5" customFormat="1" ht="15.75" customHeight="1" x14ac:dyDescent="0.25"/>
    <row r="402" s="5" customFormat="1" ht="15.75" customHeight="1" x14ac:dyDescent="0.25"/>
    <row r="403" s="5" customFormat="1" ht="15.75" customHeight="1" x14ac:dyDescent="0.25"/>
    <row r="404" s="5" customFormat="1" ht="15.75" customHeight="1" x14ac:dyDescent="0.25"/>
    <row r="405" s="5" customFormat="1" ht="15.75" customHeight="1" x14ac:dyDescent="0.25"/>
    <row r="406" s="5" customFormat="1" ht="15.75" customHeight="1" x14ac:dyDescent="0.25"/>
    <row r="407" s="5" customFormat="1" ht="15.75" customHeight="1" x14ac:dyDescent="0.25"/>
    <row r="408" s="5" customFormat="1" ht="15.75" customHeight="1" x14ac:dyDescent="0.25"/>
    <row r="409" s="5" customFormat="1" ht="15.75" customHeight="1" x14ac:dyDescent="0.25"/>
    <row r="410" s="5" customFormat="1" ht="15.75" customHeight="1" x14ac:dyDescent="0.25"/>
    <row r="411" s="5" customFormat="1" ht="15.75" customHeight="1" x14ac:dyDescent="0.25"/>
    <row r="412" s="5" customFormat="1" ht="15.75" customHeight="1" x14ac:dyDescent="0.25"/>
    <row r="413" s="5" customFormat="1" ht="15.75" customHeight="1" x14ac:dyDescent="0.25"/>
    <row r="414" s="5" customFormat="1" ht="15.75" customHeight="1" x14ac:dyDescent="0.25"/>
    <row r="415" s="5" customFormat="1" ht="15.75" customHeight="1" x14ac:dyDescent="0.25"/>
    <row r="416" s="5" customFormat="1" ht="15.75" customHeight="1" x14ac:dyDescent="0.25"/>
    <row r="417" s="5" customFormat="1" ht="15.75" customHeight="1" x14ac:dyDescent="0.25"/>
    <row r="418" s="5" customFormat="1" ht="15.75" customHeight="1" x14ac:dyDescent="0.25"/>
    <row r="419" s="5" customFormat="1" ht="15.75" customHeight="1" x14ac:dyDescent="0.25"/>
    <row r="420" s="5" customFormat="1" ht="15.75" customHeight="1" x14ac:dyDescent="0.25"/>
    <row r="421" s="5" customFormat="1" ht="15.75" customHeight="1" x14ac:dyDescent="0.25"/>
    <row r="422" s="5" customFormat="1" ht="15.75" customHeight="1" x14ac:dyDescent="0.25"/>
    <row r="423" s="5" customFormat="1" ht="15.75" customHeight="1" x14ac:dyDescent="0.25"/>
    <row r="424" s="5" customFormat="1" ht="15.75" customHeight="1" x14ac:dyDescent="0.25"/>
    <row r="425" s="5" customFormat="1" ht="15.75" customHeight="1" x14ac:dyDescent="0.25"/>
    <row r="426" s="5" customFormat="1" ht="15.75" customHeight="1" x14ac:dyDescent="0.25"/>
    <row r="427" s="5" customFormat="1" ht="15.75" customHeight="1" x14ac:dyDescent="0.25"/>
    <row r="428" s="5" customFormat="1" ht="15.75" customHeight="1" x14ac:dyDescent="0.25"/>
    <row r="429" s="5" customFormat="1" ht="15.75" customHeight="1" x14ac:dyDescent="0.25"/>
    <row r="430" s="5" customFormat="1" ht="15.75" customHeight="1" x14ac:dyDescent="0.25"/>
    <row r="431" s="5" customFormat="1" ht="15.75" customHeight="1" x14ac:dyDescent="0.25"/>
    <row r="432" s="5" customFormat="1" ht="15.75" customHeight="1" x14ac:dyDescent="0.25"/>
    <row r="433" s="5" customFormat="1" ht="15.75" customHeight="1" x14ac:dyDescent="0.25"/>
    <row r="434" s="5" customFormat="1" ht="15.75" customHeight="1" x14ac:dyDescent="0.25"/>
    <row r="435" s="5" customFormat="1" ht="15.75" customHeight="1" x14ac:dyDescent="0.25"/>
    <row r="436" s="5" customFormat="1" ht="15.75" customHeight="1" x14ac:dyDescent="0.25"/>
    <row r="437" s="5" customFormat="1" ht="15.75" customHeight="1" x14ac:dyDescent="0.25"/>
    <row r="438" s="5" customFormat="1" ht="15.75" customHeight="1" x14ac:dyDescent="0.25"/>
    <row r="439" s="5" customFormat="1" ht="15.75" customHeight="1" x14ac:dyDescent="0.25"/>
    <row r="440" s="5" customFormat="1" ht="15.75" customHeight="1" x14ac:dyDescent="0.25"/>
    <row r="441" s="5" customFormat="1" ht="15.75" customHeight="1" x14ac:dyDescent="0.25"/>
    <row r="442" s="5" customFormat="1" ht="15.75" customHeight="1" x14ac:dyDescent="0.25"/>
    <row r="443" s="5" customFormat="1" ht="15.75" customHeight="1" x14ac:dyDescent="0.25"/>
    <row r="444" s="5" customFormat="1" ht="15.75" customHeight="1" x14ac:dyDescent="0.25"/>
    <row r="445" s="5" customFormat="1" ht="15.75" customHeight="1" x14ac:dyDescent="0.25"/>
    <row r="446" s="5" customFormat="1" ht="15.75" customHeight="1" x14ac:dyDescent="0.25"/>
    <row r="447" s="5" customFormat="1" ht="15.75" customHeight="1" x14ac:dyDescent="0.25"/>
    <row r="448" s="5" customFormat="1" ht="15.75" customHeight="1" x14ac:dyDescent="0.25"/>
    <row r="449" s="5" customFormat="1" ht="15.75" customHeight="1" x14ac:dyDescent="0.25"/>
    <row r="450" s="5" customFormat="1" ht="15.75" customHeight="1" x14ac:dyDescent="0.25"/>
    <row r="451" s="5" customFormat="1" ht="15.75" customHeight="1" x14ac:dyDescent="0.25"/>
    <row r="452" s="5" customFormat="1" ht="15.75" customHeight="1" x14ac:dyDescent="0.25"/>
    <row r="453" s="5" customFormat="1" ht="15.75" customHeight="1" x14ac:dyDescent="0.25"/>
    <row r="454" s="5" customFormat="1" ht="15.75" customHeight="1" x14ac:dyDescent="0.25"/>
    <row r="455" s="5" customFormat="1" ht="15.75" customHeight="1" x14ac:dyDescent="0.25"/>
    <row r="456" s="5" customFormat="1" ht="15.75" customHeight="1" x14ac:dyDescent="0.25"/>
    <row r="457" s="5" customFormat="1" ht="15.75" customHeight="1" x14ac:dyDescent="0.25"/>
    <row r="458" s="5" customFormat="1" ht="15.75" customHeight="1" x14ac:dyDescent="0.25"/>
    <row r="459" s="5" customFormat="1" ht="15.75" customHeight="1" x14ac:dyDescent="0.25"/>
    <row r="460" s="5" customFormat="1" ht="15.75" customHeight="1" x14ac:dyDescent="0.25"/>
    <row r="461" s="5" customFormat="1" ht="15.75" customHeight="1" x14ac:dyDescent="0.25"/>
    <row r="462" s="5" customFormat="1" ht="15.75" customHeight="1" x14ac:dyDescent="0.25"/>
    <row r="463" s="5" customFormat="1" ht="15.75" customHeight="1" x14ac:dyDescent="0.25"/>
    <row r="464" s="5" customFormat="1" ht="15.75" customHeight="1" x14ac:dyDescent="0.25"/>
    <row r="465" s="5" customFormat="1" ht="15.75" customHeight="1" x14ac:dyDescent="0.25"/>
    <row r="466" s="5" customFormat="1" ht="15.75" customHeight="1" x14ac:dyDescent="0.25"/>
    <row r="467" s="5" customFormat="1" ht="15.75" customHeight="1" x14ac:dyDescent="0.25"/>
    <row r="468" s="5" customFormat="1" ht="15.75" customHeight="1" x14ac:dyDescent="0.25"/>
    <row r="469" s="5" customFormat="1" ht="15.75" customHeight="1" x14ac:dyDescent="0.25"/>
    <row r="470" s="5" customFormat="1" ht="15.75" customHeight="1" x14ac:dyDescent="0.25"/>
    <row r="471" s="5" customFormat="1" ht="15.75" customHeight="1" x14ac:dyDescent="0.25"/>
    <row r="472" s="5" customFormat="1" ht="15.75" customHeight="1" x14ac:dyDescent="0.25"/>
    <row r="473" s="5" customFormat="1" ht="15.75" customHeight="1" x14ac:dyDescent="0.25"/>
    <row r="474" s="5" customFormat="1" ht="15.75" customHeight="1" x14ac:dyDescent="0.25"/>
    <row r="475" s="5" customFormat="1" ht="15.75" customHeight="1" x14ac:dyDescent="0.25"/>
    <row r="476" s="5" customFormat="1" ht="15.75" customHeight="1" x14ac:dyDescent="0.25"/>
    <row r="477" s="5" customFormat="1" ht="15.75" customHeight="1" x14ac:dyDescent="0.25"/>
    <row r="478" s="5" customFormat="1" ht="15.75" customHeight="1" x14ac:dyDescent="0.25"/>
    <row r="479" s="5" customFormat="1" ht="15.75" customHeight="1" x14ac:dyDescent="0.25"/>
    <row r="480" s="5" customFormat="1" ht="15.75" customHeight="1" x14ac:dyDescent="0.25"/>
    <row r="481" s="5" customFormat="1" ht="15.75" customHeight="1" x14ac:dyDescent="0.25"/>
    <row r="482" s="5" customFormat="1" ht="15.75" customHeight="1" x14ac:dyDescent="0.25"/>
    <row r="483" s="5" customFormat="1" ht="15.75" customHeight="1" x14ac:dyDescent="0.25"/>
    <row r="484" s="5" customFormat="1" ht="15.75" customHeight="1" x14ac:dyDescent="0.25"/>
    <row r="485" s="5" customFormat="1" ht="15.75" customHeight="1" x14ac:dyDescent="0.25"/>
    <row r="486" s="5" customFormat="1" ht="15.75" customHeight="1" x14ac:dyDescent="0.25"/>
    <row r="487" s="5" customFormat="1" ht="15.75" customHeight="1" x14ac:dyDescent="0.25"/>
    <row r="488" s="5" customFormat="1" ht="15.75" customHeight="1" x14ac:dyDescent="0.25"/>
    <row r="489" s="5" customFormat="1" ht="15.75" customHeight="1" x14ac:dyDescent="0.25"/>
    <row r="490" s="5" customFormat="1" ht="15.75" customHeight="1" x14ac:dyDescent="0.25"/>
    <row r="491" s="5" customFormat="1" ht="15.75" customHeight="1" x14ac:dyDescent="0.25"/>
    <row r="492" s="5" customFormat="1" ht="15.75" customHeight="1" x14ac:dyDescent="0.25"/>
    <row r="493" s="5" customFormat="1" ht="15.75" customHeight="1" x14ac:dyDescent="0.25"/>
    <row r="494" s="5" customFormat="1" ht="15.75" customHeight="1" x14ac:dyDescent="0.25"/>
    <row r="495" s="5" customFormat="1" ht="15.75" customHeight="1" x14ac:dyDescent="0.25"/>
    <row r="496" s="5" customFormat="1" ht="15.75" customHeight="1" x14ac:dyDescent="0.25"/>
    <row r="497" s="5" customFormat="1" ht="15.75" customHeight="1" x14ac:dyDescent="0.25"/>
    <row r="498" s="5" customFormat="1" ht="15.75" customHeight="1" x14ac:dyDescent="0.25"/>
    <row r="499" s="5" customFormat="1" ht="15.75" customHeight="1" x14ac:dyDescent="0.25"/>
    <row r="500" s="5" customFormat="1" ht="15.75" customHeight="1" x14ac:dyDescent="0.25"/>
    <row r="501" s="5" customFormat="1" ht="15.75" customHeight="1" x14ac:dyDescent="0.25"/>
    <row r="502" s="5" customFormat="1" ht="15.75" customHeight="1" x14ac:dyDescent="0.25"/>
    <row r="503" s="5" customFormat="1" ht="15.75" customHeight="1" x14ac:dyDescent="0.25"/>
    <row r="504" s="5" customFormat="1" ht="15.75" customHeight="1" x14ac:dyDescent="0.25"/>
    <row r="505" s="5" customFormat="1" ht="15.75" customHeight="1" x14ac:dyDescent="0.25"/>
    <row r="506" s="5" customFormat="1" ht="15.75" customHeight="1" x14ac:dyDescent="0.25"/>
    <row r="507" s="5" customFormat="1" ht="15.75" customHeight="1" x14ac:dyDescent="0.25"/>
    <row r="508" s="5" customFormat="1" ht="15.75" customHeight="1" x14ac:dyDescent="0.25"/>
    <row r="509" s="5" customFormat="1" ht="15.75" customHeight="1" x14ac:dyDescent="0.25"/>
    <row r="510" s="5" customFormat="1" ht="15.75" customHeight="1" x14ac:dyDescent="0.25"/>
    <row r="511" s="5" customFormat="1" ht="15.75" customHeight="1" x14ac:dyDescent="0.25"/>
    <row r="512" s="5" customFormat="1" ht="15.75" customHeight="1" x14ac:dyDescent="0.25"/>
    <row r="513" s="5" customFormat="1" ht="15.75" customHeight="1" x14ac:dyDescent="0.25"/>
    <row r="514" s="5" customFormat="1" ht="15.75" customHeight="1" x14ac:dyDescent="0.25"/>
    <row r="515" s="5" customFormat="1" ht="15.75" customHeight="1" x14ac:dyDescent="0.25"/>
    <row r="516" s="5" customFormat="1" ht="15.75" customHeight="1" x14ac:dyDescent="0.25"/>
    <row r="517" s="5" customFormat="1" ht="15.75" customHeight="1" x14ac:dyDescent="0.25"/>
    <row r="518" s="5" customFormat="1" ht="15.75" customHeight="1" x14ac:dyDescent="0.25"/>
    <row r="519" s="5" customFormat="1" ht="15.75" customHeight="1" x14ac:dyDescent="0.25"/>
    <row r="520" s="5" customFormat="1" ht="15.75" customHeight="1" x14ac:dyDescent="0.25"/>
    <row r="521" s="5" customFormat="1" ht="15.75" customHeight="1" x14ac:dyDescent="0.25"/>
    <row r="522" s="5" customFormat="1" ht="15.75" customHeight="1" x14ac:dyDescent="0.25"/>
    <row r="523" s="5" customFormat="1" ht="15.75" customHeight="1" x14ac:dyDescent="0.25"/>
    <row r="524" s="5" customFormat="1" ht="15.75" customHeight="1" x14ac:dyDescent="0.25"/>
    <row r="525" s="5" customFormat="1" ht="15.75" customHeight="1" x14ac:dyDescent="0.25"/>
    <row r="526" s="5" customFormat="1" ht="15.75" customHeight="1" x14ac:dyDescent="0.25"/>
    <row r="527" s="5" customFormat="1" ht="15.75" customHeight="1" x14ac:dyDescent="0.25"/>
    <row r="528" s="5" customFormat="1" ht="15.75" customHeight="1" x14ac:dyDescent="0.25"/>
    <row r="529" s="5" customFormat="1" ht="15.75" customHeight="1" x14ac:dyDescent="0.25"/>
    <row r="530" s="5" customFormat="1" ht="15.75" customHeight="1" x14ac:dyDescent="0.25"/>
    <row r="531" s="5" customFormat="1" ht="15.75" customHeight="1" x14ac:dyDescent="0.25"/>
    <row r="532" s="5" customFormat="1" ht="15.75" customHeight="1" x14ac:dyDescent="0.25"/>
    <row r="533" s="5" customFormat="1" ht="15.75" customHeight="1" x14ac:dyDescent="0.25"/>
    <row r="534" s="5" customFormat="1" ht="15.75" customHeight="1" x14ac:dyDescent="0.25"/>
    <row r="535" s="5" customFormat="1" ht="15.75" customHeight="1" x14ac:dyDescent="0.25"/>
    <row r="536" s="5" customFormat="1" ht="15.75" customHeight="1" x14ac:dyDescent="0.25"/>
    <row r="537" s="5" customFormat="1" ht="15.75" customHeight="1" x14ac:dyDescent="0.25"/>
    <row r="538" s="5" customFormat="1" ht="15.75" customHeight="1" x14ac:dyDescent="0.25"/>
    <row r="539" s="5" customFormat="1" ht="15.75" customHeight="1" x14ac:dyDescent="0.25"/>
    <row r="540" s="5" customFormat="1" ht="15.75" customHeight="1" x14ac:dyDescent="0.25"/>
    <row r="541" s="5" customFormat="1" ht="15.75" customHeight="1" x14ac:dyDescent="0.25"/>
    <row r="542" s="5" customFormat="1" ht="15.75" customHeight="1" x14ac:dyDescent="0.25"/>
    <row r="543" s="5" customFormat="1" ht="15.75" customHeight="1" x14ac:dyDescent="0.25"/>
    <row r="544" s="5" customFormat="1" ht="15.75" customHeight="1" x14ac:dyDescent="0.25"/>
    <row r="545" s="5" customFormat="1" ht="15.75" customHeight="1" x14ac:dyDescent="0.25"/>
    <row r="546" s="5" customFormat="1" ht="15.75" customHeight="1" x14ac:dyDescent="0.25"/>
    <row r="547" s="5" customFormat="1" ht="15.75" customHeight="1" x14ac:dyDescent="0.25"/>
    <row r="548" s="5" customFormat="1" ht="15.75" customHeight="1" x14ac:dyDescent="0.25"/>
    <row r="549" s="5" customFormat="1" ht="15.75" customHeight="1" x14ac:dyDescent="0.25"/>
    <row r="550" s="5" customFormat="1" ht="15.75" customHeight="1" x14ac:dyDescent="0.25"/>
    <row r="551" s="5" customFormat="1" ht="15.75" customHeight="1" x14ac:dyDescent="0.25"/>
    <row r="552" s="5" customFormat="1" ht="15.75" customHeight="1" x14ac:dyDescent="0.25"/>
    <row r="553" s="5" customFormat="1" ht="15.75" customHeight="1" x14ac:dyDescent="0.25"/>
    <row r="554" s="5" customFormat="1" ht="15.75" customHeight="1" x14ac:dyDescent="0.25"/>
    <row r="555" s="5" customFormat="1" ht="15.75" customHeight="1" x14ac:dyDescent="0.25"/>
    <row r="556" s="5" customFormat="1" ht="15.75" customHeight="1" x14ac:dyDescent="0.25"/>
    <row r="557" s="5" customFormat="1" ht="15.75" customHeight="1" x14ac:dyDescent="0.25"/>
    <row r="558" s="5" customFormat="1" ht="15.75" customHeight="1" x14ac:dyDescent="0.25"/>
    <row r="559" s="5" customFormat="1" ht="15.75" customHeight="1" x14ac:dyDescent="0.25"/>
    <row r="560" s="5" customFormat="1" ht="15.75" customHeight="1" x14ac:dyDescent="0.25"/>
    <row r="561" s="5" customFormat="1" ht="15.75" customHeight="1" x14ac:dyDescent="0.25"/>
    <row r="562" s="5" customFormat="1" ht="15.75" customHeight="1" x14ac:dyDescent="0.25"/>
    <row r="563" s="5" customFormat="1" ht="15.75" customHeight="1" x14ac:dyDescent="0.25"/>
    <row r="564" s="5" customFormat="1" ht="15.75" customHeight="1" x14ac:dyDescent="0.25"/>
    <row r="565" s="5" customFormat="1" ht="15.75" customHeight="1" x14ac:dyDescent="0.25"/>
    <row r="566" s="5" customFormat="1" ht="15.75" customHeight="1" x14ac:dyDescent="0.25"/>
    <row r="567" s="5" customFormat="1" ht="15.75" customHeight="1" x14ac:dyDescent="0.25"/>
    <row r="568" s="5" customFormat="1" ht="15.75" customHeight="1" x14ac:dyDescent="0.25"/>
    <row r="569" s="5" customFormat="1" ht="15.75" customHeight="1" x14ac:dyDescent="0.25"/>
    <row r="570" s="5" customFormat="1" ht="15.75" customHeight="1" x14ac:dyDescent="0.25"/>
    <row r="571" s="5" customFormat="1" ht="15.75" customHeight="1" x14ac:dyDescent="0.25"/>
    <row r="572" s="5" customFormat="1" ht="15.75" customHeight="1" x14ac:dyDescent="0.25"/>
    <row r="573" s="5" customFormat="1" ht="15.75" customHeight="1" x14ac:dyDescent="0.25"/>
    <row r="574" s="5" customFormat="1" ht="15.75" customHeight="1" x14ac:dyDescent="0.25"/>
    <row r="575" s="5" customFormat="1" ht="15.75" customHeight="1" x14ac:dyDescent="0.25"/>
    <row r="576" s="5" customFormat="1" ht="15.75" customHeight="1" x14ac:dyDescent="0.25"/>
    <row r="577" s="5" customFormat="1" ht="15.75" customHeight="1" x14ac:dyDescent="0.25"/>
    <row r="578" s="5" customFormat="1" ht="15.75" customHeight="1" x14ac:dyDescent="0.25"/>
    <row r="579" s="5" customFormat="1" ht="15.75" customHeight="1" x14ac:dyDescent="0.25"/>
    <row r="580" s="5" customFormat="1" ht="15.75" customHeight="1" x14ac:dyDescent="0.25"/>
    <row r="581" s="5" customFormat="1" ht="15.75" customHeight="1" x14ac:dyDescent="0.25"/>
    <row r="582" s="5" customFormat="1" ht="15.75" customHeight="1" x14ac:dyDescent="0.25"/>
    <row r="583" s="5" customFormat="1" ht="15.75" customHeight="1" x14ac:dyDescent="0.25"/>
    <row r="584" s="5" customFormat="1" ht="15.75" customHeight="1" x14ac:dyDescent="0.25"/>
    <row r="585" s="5" customFormat="1" ht="15.75" customHeight="1" x14ac:dyDescent="0.25"/>
    <row r="586" s="5" customFormat="1" ht="15.75" customHeight="1" x14ac:dyDescent="0.25"/>
    <row r="587" s="5" customFormat="1" ht="15.75" customHeight="1" x14ac:dyDescent="0.25"/>
    <row r="588" s="5" customFormat="1" ht="15.75" customHeight="1" x14ac:dyDescent="0.25"/>
    <row r="589" s="5" customFormat="1" ht="15.75" customHeight="1" x14ac:dyDescent="0.25"/>
    <row r="590" s="5" customFormat="1" ht="15.75" customHeight="1" x14ac:dyDescent="0.25"/>
    <row r="591" s="5" customFormat="1" ht="15.75" customHeight="1" x14ac:dyDescent="0.25"/>
    <row r="592" s="5" customFormat="1" ht="15.75" customHeight="1" x14ac:dyDescent="0.25"/>
    <row r="593" s="5" customFormat="1" ht="15.75" customHeight="1" x14ac:dyDescent="0.25"/>
    <row r="594" s="5" customFormat="1" ht="15.75" customHeight="1" x14ac:dyDescent="0.25"/>
    <row r="595" s="5" customFormat="1" ht="15.75" customHeight="1" x14ac:dyDescent="0.25"/>
    <row r="596" s="5" customFormat="1" ht="15.75" customHeight="1" x14ac:dyDescent="0.25"/>
    <row r="597" s="5" customFormat="1" ht="15.75" customHeight="1" x14ac:dyDescent="0.25"/>
    <row r="598" s="5" customFormat="1" ht="15.75" customHeight="1" x14ac:dyDescent="0.25"/>
    <row r="599" s="5" customFormat="1" ht="15.75" customHeight="1" x14ac:dyDescent="0.25"/>
    <row r="600" s="5" customFormat="1" ht="15.75" customHeight="1" x14ac:dyDescent="0.25"/>
    <row r="601" s="5" customFormat="1" ht="15.75" customHeight="1" x14ac:dyDescent="0.25"/>
    <row r="602" s="5" customFormat="1" ht="15.75" customHeight="1" x14ac:dyDescent="0.25"/>
    <row r="603" s="5" customFormat="1" ht="15.75" customHeight="1" x14ac:dyDescent="0.25"/>
    <row r="604" s="5" customFormat="1" ht="15.75" customHeight="1" x14ac:dyDescent="0.25"/>
    <row r="605" s="5" customFormat="1" ht="15.75" customHeight="1" x14ac:dyDescent="0.25"/>
    <row r="606" s="5" customFormat="1" ht="15.75" customHeight="1" x14ac:dyDescent="0.25"/>
    <row r="607" s="5" customFormat="1" ht="15.75" customHeight="1" x14ac:dyDescent="0.25"/>
    <row r="608" s="5" customFormat="1" ht="15.75" customHeight="1" x14ac:dyDescent="0.25"/>
    <row r="609" s="5" customFormat="1" ht="15.75" customHeight="1" x14ac:dyDescent="0.25"/>
    <row r="610" s="5" customFormat="1" ht="15.75" customHeight="1" x14ac:dyDescent="0.25"/>
    <row r="611" s="5" customFormat="1" ht="15.75" customHeight="1" x14ac:dyDescent="0.25"/>
    <row r="612" s="5" customFormat="1" ht="15.75" customHeight="1" x14ac:dyDescent="0.25"/>
    <row r="613" s="5" customFormat="1" ht="15.75" customHeight="1" x14ac:dyDescent="0.25"/>
    <row r="614" s="5" customFormat="1" ht="15.75" customHeight="1" x14ac:dyDescent="0.25"/>
    <row r="615" s="5" customFormat="1" ht="15.75" customHeight="1" x14ac:dyDescent="0.25"/>
    <row r="616" s="5" customFormat="1" ht="15.75" customHeight="1" x14ac:dyDescent="0.25"/>
    <row r="617" s="5" customFormat="1" ht="15.75" customHeight="1" x14ac:dyDescent="0.25"/>
    <row r="618" s="5" customFormat="1" ht="15.75" customHeight="1" x14ac:dyDescent="0.25"/>
    <row r="619" s="5" customFormat="1" ht="15.75" customHeight="1" x14ac:dyDescent="0.25"/>
    <row r="620" s="5" customFormat="1" ht="15.75" customHeight="1" x14ac:dyDescent="0.25"/>
    <row r="621" s="5" customFormat="1" ht="15.75" customHeight="1" x14ac:dyDescent="0.25"/>
    <row r="622" s="5" customFormat="1" ht="15.75" customHeight="1" x14ac:dyDescent="0.25"/>
    <row r="623" s="5" customFormat="1" ht="15.75" customHeight="1" x14ac:dyDescent="0.25"/>
    <row r="624" s="5" customFormat="1" ht="15.75" customHeight="1" x14ac:dyDescent="0.25"/>
    <row r="625" s="5" customFormat="1" ht="15.75" customHeight="1" x14ac:dyDescent="0.25"/>
    <row r="626" s="5" customFormat="1" ht="15.75" customHeight="1" x14ac:dyDescent="0.25"/>
    <row r="627" s="5" customFormat="1" ht="15.75" customHeight="1" x14ac:dyDescent="0.25"/>
    <row r="628" s="5" customFormat="1" ht="15.75" customHeight="1" x14ac:dyDescent="0.25"/>
    <row r="629" s="5" customFormat="1" ht="15.75" customHeight="1" x14ac:dyDescent="0.25"/>
    <row r="630" s="5" customFormat="1" ht="15.75" customHeight="1" x14ac:dyDescent="0.25"/>
    <row r="631" s="5" customFormat="1" ht="15.75" customHeight="1" x14ac:dyDescent="0.25"/>
    <row r="632" s="5" customFormat="1" ht="15.75" customHeight="1" x14ac:dyDescent="0.25"/>
    <row r="633" s="5" customFormat="1" ht="15.75" customHeight="1" x14ac:dyDescent="0.25"/>
    <row r="634" s="5" customFormat="1" ht="15.75" customHeight="1" x14ac:dyDescent="0.25"/>
    <row r="635" s="5" customFormat="1" ht="15.75" customHeight="1" x14ac:dyDescent="0.25"/>
    <row r="636" s="5" customFormat="1" ht="15.75" customHeight="1" x14ac:dyDescent="0.25"/>
    <row r="637" s="5" customFormat="1" ht="15.75" customHeight="1" x14ac:dyDescent="0.25"/>
    <row r="638" s="5" customFormat="1" ht="15.75" customHeight="1" x14ac:dyDescent="0.25"/>
    <row r="639" s="5" customFormat="1" ht="15.75" customHeight="1" x14ac:dyDescent="0.25"/>
    <row r="640" s="5" customFormat="1" ht="15.75" customHeight="1" x14ac:dyDescent="0.25"/>
    <row r="641" s="5" customFormat="1" ht="15.75" customHeight="1" x14ac:dyDescent="0.25"/>
    <row r="642" s="5" customFormat="1" ht="15.75" customHeight="1" x14ac:dyDescent="0.25"/>
    <row r="643" s="5" customFormat="1" ht="15.75" customHeight="1" x14ac:dyDescent="0.25"/>
    <row r="644" s="5" customFormat="1" ht="15.75" customHeight="1" x14ac:dyDescent="0.25"/>
    <row r="645" s="5" customFormat="1" ht="15.75" customHeight="1" x14ac:dyDescent="0.25"/>
    <row r="646" s="5" customFormat="1" ht="15.75" customHeight="1" x14ac:dyDescent="0.25"/>
    <row r="647" s="5" customFormat="1" ht="15.75" customHeight="1" x14ac:dyDescent="0.25"/>
    <row r="648" s="5" customFormat="1" ht="15.75" customHeight="1" x14ac:dyDescent="0.25"/>
    <row r="649" s="5" customFormat="1" ht="15.75" customHeight="1" x14ac:dyDescent="0.25"/>
    <row r="650" s="5" customFormat="1" ht="15.75" customHeight="1" x14ac:dyDescent="0.25"/>
    <row r="651" s="5" customFormat="1" ht="15.75" customHeight="1" x14ac:dyDescent="0.25"/>
    <row r="652" s="5" customFormat="1" ht="15.75" customHeight="1" x14ac:dyDescent="0.25"/>
    <row r="653" s="5" customFormat="1" ht="15.75" customHeight="1" x14ac:dyDescent="0.25"/>
    <row r="654" s="5" customFormat="1" ht="15.75" customHeight="1" x14ac:dyDescent="0.25"/>
    <row r="655" s="5" customFormat="1" ht="15.75" customHeight="1" x14ac:dyDescent="0.25"/>
    <row r="656" s="5" customFormat="1" ht="15.75" customHeight="1" x14ac:dyDescent="0.25"/>
    <row r="657" s="5" customFormat="1" ht="15.75" customHeight="1" x14ac:dyDescent="0.25"/>
    <row r="658" s="5" customFormat="1" ht="15.75" customHeight="1" x14ac:dyDescent="0.25"/>
    <row r="659" s="5" customFormat="1" ht="15.75" customHeight="1" x14ac:dyDescent="0.25"/>
    <row r="660" s="5" customFormat="1" ht="15.75" customHeight="1" x14ac:dyDescent="0.25"/>
    <row r="661" s="5" customFormat="1" ht="15.75" customHeight="1" x14ac:dyDescent="0.25"/>
    <row r="662" s="5" customFormat="1" ht="15.75" customHeight="1" x14ac:dyDescent="0.25"/>
    <row r="663" s="5" customFormat="1" ht="15.75" customHeight="1" x14ac:dyDescent="0.25"/>
    <row r="664" s="5" customFormat="1" ht="15.75" customHeight="1" x14ac:dyDescent="0.25"/>
    <row r="665" s="5" customFormat="1" ht="15.75" customHeight="1" x14ac:dyDescent="0.25"/>
    <row r="666" s="5" customFormat="1" ht="15.75" customHeight="1" x14ac:dyDescent="0.25"/>
    <row r="667" s="5" customFormat="1" ht="15.75" customHeight="1" x14ac:dyDescent="0.25"/>
    <row r="668" s="5" customFormat="1" ht="15.75" customHeight="1" x14ac:dyDescent="0.25"/>
    <row r="669" s="5" customFormat="1" ht="15.75" customHeight="1" x14ac:dyDescent="0.25"/>
    <row r="670" s="5" customFormat="1" ht="15.75" customHeight="1" x14ac:dyDescent="0.25"/>
    <row r="671" s="5" customFormat="1" ht="15.75" customHeight="1" x14ac:dyDescent="0.25"/>
    <row r="672" s="5" customFormat="1" ht="15.75" customHeight="1" x14ac:dyDescent="0.25"/>
    <row r="673" s="5" customFormat="1" ht="15.75" customHeight="1" x14ac:dyDescent="0.25"/>
    <row r="674" s="5" customFormat="1" ht="15.75" customHeight="1" x14ac:dyDescent="0.25"/>
    <row r="675" s="5" customFormat="1" ht="15.75" customHeight="1" x14ac:dyDescent="0.25"/>
    <row r="676" s="5" customFormat="1" ht="15.75" customHeight="1" x14ac:dyDescent="0.25"/>
    <row r="677" s="5" customFormat="1" ht="15.75" customHeight="1" x14ac:dyDescent="0.25"/>
    <row r="678" s="5" customFormat="1" ht="15.75" customHeight="1" x14ac:dyDescent="0.25"/>
    <row r="679" s="5" customFormat="1" ht="15.75" customHeight="1" x14ac:dyDescent="0.25"/>
    <row r="680" s="5" customFormat="1" ht="15.75" customHeight="1" x14ac:dyDescent="0.25"/>
    <row r="681" s="5" customFormat="1" ht="15.75" customHeight="1" x14ac:dyDescent="0.25"/>
    <row r="682" s="5" customFormat="1" ht="15.75" customHeight="1" x14ac:dyDescent="0.25"/>
    <row r="683" s="5" customFormat="1" ht="15.75" customHeight="1" x14ac:dyDescent="0.25"/>
    <row r="684" s="5" customFormat="1" ht="15.75" customHeight="1" x14ac:dyDescent="0.25"/>
    <row r="685" s="5" customFormat="1" ht="15.75" customHeight="1" x14ac:dyDescent="0.25"/>
    <row r="686" s="5" customFormat="1" ht="15.75" customHeight="1" x14ac:dyDescent="0.25"/>
    <row r="687" s="5" customFormat="1" ht="15.75" customHeight="1" x14ac:dyDescent="0.25"/>
    <row r="688" s="5" customFormat="1" ht="15.75" customHeight="1" x14ac:dyDescent="0.25"/>
    <row r="689" s="5" customFormat="1" ht="15.75" customHeight="1" x14ac:dyDescent="0.25"/>
    <row r="690" s="5" customFormat="1" ht="15.75" customHeight="1" x14ac:dyDescent="0.25"/>
    <row r="691" s="5" customFormat="1" ht="15.75" customHeight="1" x14ac:dyDescent="0.25"/>
    <row r="692" s="5" customFormat="1" ht="15.75" customHeight="1" x14ac:dyDescent="0.25"/>
    <row r="693" s="5" customFormat="1" ht="15.75" customHeight="1" x14ac:dyDescent="0.25"/>
    <row r="694" s="5" customFormat="1" ht="15.75" customHeight="1" x14ac:dyDescent="0.25"/>
    <row r="695" s="5" customFormat="1" ht="15.75" customHeight="1" x14ac:dyDescent="0.25"/>
    <row r="696" s="5" customFormat="1" ht="15.75" customHeight="1" x14ac:dyDescent="0.25"/>
    <row r="697" s="5" customFormat="1" ht="15.75" customHeight="1" x14ac:dyDescent="0.25"/>
    <row r="698" s="5" customFormat="1" ht="15.75" customHeight="1" x14ac:dyDescent="0.25"/>
    <row r="699" s="5" customFormat="1" ht="15.75" customHeight="1" x14ac:dyDescent="0.25"/>
    <row r="700" s="5" customFormat="1" ht="15.75" customHeight="1" x14ac:dyDescent="0.25"/>
    <row r="701" s="5" customFormat="1" ht="15.75" customHeight="1" x14ac:dyDescent="0.25"/>
    <row r="702" s="5" customFormat="1" ht="15.75" customHeight="1" x14ac:dyDescent="0.25"/>
    <row r="703" s="5" customFormat="1" ht="15.75" customHeight="1" x14ac:dyDescent="0.25"/>
    <row r="704" s="5" customFormat="1" ht="15.75" customHeight="1" x14ac:dyDescent="0.25"/>
    <row r="705" s="5" customFormat="1" ht="15.75" customHeight="1" x14ac:dyDescent="0.25"/>
    <row r="706" s="5" customFormat="1" ht="15.75" customHeight="1" x14ac:dyDescent="0.25"/>
    <row r="707" s="5" customFormat="1" ht="15.75" customHeight="1" x14ac:dyDescent="0.25"/>
    <row r="708" s="5" customFormat="1" ht="15.75" customHeight="1" x14ac:dyDescent="0.25"/>
    <row r="709" s="5" customFormat="1" ht="15.75" customHeight="1" x14ac:dyDescent="0.25"/>
    <row r="710" s="5" customFormat="1" ht="15.75" customHeight="1" x14ac:dyDescent="0.25"/>
    <row r="711" s="5" customFormat="1" ht="15.75" customHeight="1" x14ac:dyDescent="0.25"/>
    <row r="712" s="5" customFormat="1" ht="15.75" customHeight="1" x14ac:dyDescent="0.25"/>
    <row r="713" s="5" customFormat="1" ht="15.75" customHeight="1" x14ac:dyDescent="0.25"/>
    <row r="714" s="5" customFormat="1" ht="15.75" customHeight="1" x14ac:dyDescent="0.25"/>
    <row r="715" s="5" customFormat="1" ht="15.75" customHeight="1" x14ac:dyDescent="0.25"/>
    <row r="716" s="5" customFormat="1" ht="15.75" customHeight="1" x14ac:dyDescent="0.25"/>
    <row r="717" s="5" customFormat="1" ht="15.75" customHeight="1" x14ac:dyDescent="0.25"/>
    <row r="718" s="5" customFormat="1" ht="15.75" customHeight="1" x14ac:dyDescent="0.25"/>
    <row r="719" s="5" customFormat="1" ht="15.75" customHeight="1" x14ac:dyDescent="0.25"/>
    <row r="720" s="5" customFormat="1" ht="15.75" customHeight="1" x14ac:dyDescent="0.25"/>
    <row r="721" s="5" customFormat="1" ht="15.75" customHeight="1" x14ac:dyDescent="0.25"/>
    <row r="722" s="5" customFormat="1" ht="15.75" customHeight="1" x14ac:dyDescent="0.25"/>
    <row r="723" s="5" customFormat="1" ht="15.75" customHeight="1" x14ac:dyDescent="0.25"/>
    <row r="724" s="5" customFormat="1" ht="15.75" customHeight="1" x14ac:dyDescent="0.25"/>
    <row r="725" s="5" customFormat="1" ht="15.75" customHeight="1" x14ac:dyDescent="0.25"/>
    <row r="726" s="5" customFormat="1" ht="15.75" customHeight="1" x14ac:dyDescent="0.25"/>
    <row r="727" s="5" customFormat="1" ht="15.75" customHeight="1" x14ac:dyDescent="0.25"/>
    <row r="728" s="5" customFormat="1" ht="15.75" customHeight="1" x14ac:dyDescent="0.25"/>
    <row r="729" s="5" customFormat="1" ht="15.75" customHeight="1" x14ac:dyDescent="0.25"/>
    <row r="730" s="5" customFormat="1" ht="15.75" customHeight="1" x14ac:dyDescent="0.25"/>
    <row r="731" s="5" customFormat="1" ht="15.75" customHeight="1" x14ac:dyDescent="0.25"/>
    <row r="732" s="5" customFormat="1" ht="15.75" customHeight="1" x14ac:dyDescent="0.25"/>
    <row r="733" s="5" customFormat="1" ht="15.75" customHeight="1" x14ac:dyDescent="0.25"/>
    <row r="734" s="5" customFormat="1" ht="15.75" customHeight="1" x14ac:dyDescent="0.25"/>
    <row r="735" s="5" customFormat="1" ht="15.75" customHeight="1" x14ac:dyDescent="0.25"/>
    <row r="736" s="5" customFormat="1" ht="15.75" customHeight="1" x14ac:dyDescent="0.25"/>
    <row r="737" s="5" customFormat="1" ht="15.75" customHeight="1" x14ac:dyDescent="0.25"/>
    <row r="738" s="5" customFormat="1" ht="15.75" customHeight="1" x14ac:dyDescent="0.25"/>
    <row r="739" s="5" customFormat="1" ht="15.75" customHeight="1" x14ac:dyDescent="0.25"/>
    <row r="740" s="5" customFormat="1" ht="15.75" customHeight="1" x14ac:dyDescent="0.25"/>
    <row r="741" s="5" customFormat="1" ht="15.75" customHeight="1" x14ac:dyDescent="0.25"/>
    <row r="742" s="5" customFormat="1" ht="15.75" customHeight="1" x14ac:dyDescent="0.25"/>
    <row r="743" s="5" customFormat="1" ht="15.75" customHeight="1" x14ac:dyDescent="0.25"/>
    <row r="744" s="5" customFormat="1" ht="15.75" customHeight="1" x14ac:dyDescent="0.25"/>
    <row r="745" s="5" customFormat="1" ht="15.75" customHeight="1" x14ac:dyDescent="0.25"/>
    <row r="746" s="5" customFormat="1" ht="15.75" customHeight="1" x14ac:dyDescent="0.25"/>
    <row r="747" s="5" customFormat="1" ht="15.75" customHeight="1" x14ac:dyDescent="0.25"/>
    <row r="748" s="5" customFormat="1" ht="15.75" customHeight="1" x14ac:dyDescent="0.25"/>
    <row r="749" s="5" customFormat="1" ht="15.75" customHeight="1" x14ac:dyDescent="0.25"/>
    <row r="750" s="5" customFormat="1" ht="15.75" customHeight="1" x14ac:dyDescent="0.25"/>
    <row r="751" s="5" customFormat="1" ht="15.75" customHeight="1" x14ac:dyDescent="0.25"/>
    <row r="752" s="5" customFormat="1" ht="15.75" customHeight="1" x14ac:dyDescent="0.25"/>
    <row r="753" s="5" customFormat="1" ht="15.75" customHeight="1" x14ac:dyDescent="0.25"/>
    <row r="754" s="5" customFormat="1" ht="15.75" customHeight="1" x14ac:dyDescent="0.25"/>
    <row r="755" s="5" customFormat="1" ht="15.75" customHeight="1" x14ac:dyDescent="0.25"/>
    <row r="756" s="5" customFormat="1" ht="15.75" customHeight="1" x14ac:dyDescent="0.25"/>
    <row r="757" s="5" customFormat="1" ht="15.75" customHeight="1" x14ac:dyDescent="0.25"/>
    <row r="758" s="5" customFormat="1" ht="15.75" customHeight="1" x14ac:dyDescent="0.25"/>
    <row r="759" s="5" customFormat="1" ht="15.75" customHeight="1" x14ac:dyDescent="0.25"/>
    <row r="760" s="5" customFormat="1" ht="15.75" customHeight="1" x14ac:dyDescent="0.25"/>
    <row r="761" s="5" customFormat="1" ht="15.75" customHeight="1" x14ac:dyDescent="0.25"/>
    <row r="762" s="5" customFormat="1" ht="15.75" customHeight="1" x14ac:dyDescent="0.25"/>
    <row r="763" s="5" customFormat="1" ht="15.75" customHeight="1" x14ac:dyDescent="0.25"/>
    <row r="764" s="5" customFormat="1" ht="15.75" customHeight="1" x14ac:dyDescent="0.25"/>
    <row r="765" s="5" customFormat="1" ht="15.75" customHeight="1" x14ac:dyDescent="0.25"/>
    <row r="766" s="5" customFormat="1" ht="15.75" customHeight="1" x14ac:dyDescent="0.25"/>
    <row r="767" s="5" customFormat="1" ht="15.75" customHeight="1" x14ac:dyDescent="0.25"/>
    <row r="768" s="5" customFormat="1" ht="15.75" customHeight="1" x14ac:dyDescent="0.25"/>
    <row r="769" s="5" customFormat="1" ht="15.75" customHeight="1" x14ac:dyDescent="0.25"/>
    <row r="770" s="5" customFormat="1" ht="15.75" customHeight="1" x14ac:dyDescent="0.25"/>
    <row r="771" s="5" customFormat="1" ht="15.75" customHeight="1" x14ac:dyDescent="0.25"/>
    <row r="772" s="5" customFormat="1" ht="15.75" customHeight="1" x14ac:dyDescent="0.25"/>
    <row r="773" s="5" customFormat="1" ht="15.75" customHeight="1" x14ac:dyDescent="0.25"/>
    <row r="774" s="5" customFormat="1" ht="15.75" customHeight="1" x14ac:dyDescent="0.25"/>
    <row r="775" s="5" customFormat="1" ht="15.75" customHeight="1" x14ac:dyDescent="0.25"/>
    <row r="776" s="5" customFormat="1" ht="15.75" customHeight="1" x14ac:dyDescent="0.25"/>
    <row r="777" s="5" customFormat="1" ht="15.75" customHeight="1" x14ac:dyDescent="0.25"/>
    <row r="778" s="5" customFormat="1" ht="15.75" customHeight="1" x14ac:dyDescent="0.25"/>
    <row r="779" s="5" customFormat="1" ht="15.75" customHeight="1" x14ac:dyDescent="0.25"/>
    <row r="780" s="5" customFormat="1" ht="15.75" customHeight="1" x14ac:dyDescent="0.25"/>
    <row r="781" s="5" customFormat="1" ht="15.75" customHeight="1" x14ac:dyDescent="0.25"/>
    <row r="782" s="5" customFormat="1" ht="15.75" customHeight="1" x14ac:dyDescent="0.25"/>
    <row r="783" s="5" customFormat="1" ht="15.75" customHeight="1" x14ac:dyDescent="0.25"/>
    <row r="784" s="5" customFormat="1" ht="15.75" customHeight="1" x14ac:dyDescent="0.25"/>
    <row r="785" s="5" customFormat="1" ht="15.75" customHeight="1" x14ac:dyDescent="0.25"/>
    <row r="786" s="5" customFormat="1" ht="15.75" customHeight="1" x14ac:dyDescent="0.25"/>
    <row r="787" s="5" customFormat="1" ht="15.75" customHeight="1" x14ac:dyDescent="0.25"/>
    <row r="788" s="5" customFormat="1" ht="15.75" customHeight="1" x14ac:dyDescent="0.25"/>
    <row r="789" s="5" customFormat="1" ht="15.75" customHeight="1" x14ac:dyDescent="0.25"/>
    <row r="790" s="5" customFormat="1" ht="15.75" customHeight="1" x14ac:dyDescent="0.25"/>
    <row r="791" s="5" customFormat="1" ht="15.75" customHeight="1" x14ac:dyDescent="0.25"/>
    <row r="792" s="5" customFormat="1" ht="15.75" customHeight="1" x14ac:dyDescent="0.25"/>
    <row r="793" s="5" customFormat="1" ht="15.75" customHeight="1" x14ac:dyDescent="0.25"/>
    <row r="794" s="5" customFormat="1" ht="15.75" customHeight="1" x14ac:dyDescent="0.25"/>
    <row r="795" s="5" customFormat="1" ht="15.75" customHeight="1" x14ac:dyDescent="0.25"/>
    <row r="796" s="5" customFormat="1" ht="15.75" customHeight="1" x14ac:dyDescent="0.25"/>
    <row r="797" s="5" customFormat="1" ht="15.75" customHeight="1" x14ac:dyDescent="0.25"/>
    <row r="798" s="5" customFormat="1" ht="15.75" customHeight="1" x14ac:dyDescent="0.25"/>
    <row r="799" s="5" customFormat="1" ht="15.75" customHeight="1" x14ac:dyDescent="0.25"/>
    <row r="800" s="5" customFormat="1" ht="15.75" customHeight="1" x14ac:dyDescent="0.25"/>
    <row r="801" s="5" customFormat="1" ht="15.75" customHeight="1" x14ac:dyDescent="0.25"/>
    <row r="802" s="5" customFormat="1" ht="15.75" customHeight="1" x14ac:dyDescent="0.25"/>
    <row r="803" s="5" customFormat="1" ht="15.75" customHeight="1" x14ac:dyDescent="0.25"/>
    <row r="804" s="5" customFormat="1" ht="15.75" customHeight="1" x14ac:dyDescent="0.25"/>
    <row r="805" s="5" customFormat="1" ht="15.75" customHeight="1" x14ac:dyDescent="0.25"/>
    <row r="806" s="5" customFormat="1" ht="15.75" customHeight="1" x14ac:dyDescent="0.25"/>
    <row r="807" s="5" customFormat="1" ht="15.75" customHeight="1" x14ac:dyDescent="0.25"/>
    <row r="808" s="5" customFormat="1" ht="15.75" customHeight="1" x14ac:dyDescent="0.25"/>
    <row r="809" s="5" customFormat="1" ht="15.75" customHeight="1" x14ac:dyDescent="0.25"/>
    <row r="810" s="5" customFormat="1" ht="15.75" customHeight="1" x14ac:dyDescent="0.25"/>
    <row r="811" s="5" customFormat="1" ht="15.75" customHeight="1" x14ac:dyDescent="0.25"/>
    <row r="812" s="5" customFormat="1" ht="15.75" customHeight="1" x14ac:dyDescent="0.25"/>
    <row r="813" s="5" customFormat="1" ht="15.75" customHeight="1" x14ac:dyDescent="0.25"/>
    <row r="814" s="5" customFormat="1" ht="15.75" customHeight="1" x14ac:dyDescent="0.25"/>
    <row r="815" s="5" customFormat="1" ht="15.75" customHeight="1" x14ac:dyDescent="0.25"/>
    <row r="816" s="5" customFormat="1" ht="15.75" customHeight="1" x14ac:dyDescent="0.25"/>
    <row r="817" s="5" customFormat="1" ht="15.75" customHeight="1" x14ac:dyDescent="0.25"/>
    <row r="818" s="5" customFormat="1" ht="15.75" customHeight="1" x14ac:dyDescent="0.25"/>
    <row r="819" s="5" customFormat="1" ht="15.75" customHeight="1" x14ac:dyDescent="0.25"/>
    <row r="820" s="5" customFormat="1" ht="15.75" customHeight="1" x14ac:dyDescent="0.25"/>
    <row r="821" s="5" customFormat="1" ht="15.75" customHeight="1" x14ac:dyDescent="0.25"/>
    <row r="822" s="5" customFormat="1" ht="15.75" customHeight="1" x14ac:dyDescent="0.25"/>
    <row r="823" s="5" customFormat="1" ht="15.75" customHeight="1" x14ac:dyDescent="0.25"/>
    <row r="824" s="5" customFormat="1" ht="15.75" customHeight="1" x14ac:dyDescent="0.25"/>
    <row r="825" s="5" customFormat="1" ht="15.75" customHeight="1" x14ac:dyDescent="0.25"/>
    <row r="826" s="5" customFormat="1" ht="15.75" customHeight="1" x14ac:dyDescent="0.25"/>
    <row r="827" s="5" customFormat="1" ht="15.75" customHeight="1" x14ac:dyDescent="0.25"/>
    <row r="828" s="5" customFormat="1" ht="15.75" customHeight="1" x14ac:dyDescent="0.25"/>
    <row r="829" s="5" customFormat="1" ht="15.75" customHeight="1" x14ac:dyDescent="0.25"/>
    <row r="830" s="5" customFormat="1" ht="15.75" customHeight="1" x14ac:dyDescent="0.25"/>
    <row r="831" s="5" customFormat="1" ht="15.75" customHeight="1" x14ac:dyDescent="0.25"/>
    <row r="832" s="5" customFormat="1" ht="15.75" customHeight="1" x14ac:dyDescent="0.25"/>
    <row r="833" s="5" customFormat="1" ht="15.75" customHeight="1" x14ac:dyDescent="0.25"/>
    <row r="834" s="5" customFormat="1" ht="15.75" customHeight="1" x14ac:dyDescent="0.25"/>
    <row r="835" s="5" customFormat="1" ht="15.75" customHeight="1" x14ac:dyDescent="0.25"/>
    <row r="836" s="5" customFormat="1" ht="15.75" customHeight="1" x14ac:dyDescent="0.25"/>
    <row r="837" s="5" customFormat="1" ht="15.75" customHeight="1" x14ac:dyDescent="0.25"/>
    <row r="838" s="5" customFormat="1" ht="15.75" customHeight="1" x14ac:dyDescent="0.25"/>
    <row r="839" s="5" customFormat="1" ht="15.75" customHeight="1" x14ac:dyDescent="0.25"/>
    <row r="840" s="5" customFormat="1" ht="15.75" customHeight="1" x14ac:dyDescent="0.25"/>
    <row r="841" s="5" customFormat="1" ht="15.75" customHeight="1" x14ac:dyDescent="0.25"/>
    <row r="842" s="5" customFormat="1" ht="15.75" customHeight="1" x14ac:dyDescent="0.25"/>
    <row r="843" s="5" customFormat="1" ht="15.75" customHeight="1" x14ac:dyDescent="0.25"/>
    <row r="844" s="5" customFormat="1" ht="15.75" customHeight="1" x14ac:dyDescent="0.25"/>
    <row r="845" s="5" customFormat="1" ht="15.75" customHeight="1" x14ac:dyDescent="0.25"/>
    <row r="846" s="5" customFormat="1" ht="15.75" customHeight="1" x14ac:dyDescent="0.25"/>
    <row r="847" s="5" customFormat="1" ht="15.75" customHeight="1" x14ac:dyDescent="0.25"/>
    <row r="848" s="5" customFormat="1" ht="15.75" customHeight="1" x14ac:dyDescent="0.25"/>
    <row r="849" s="5" customFormat="1" ht="15.75" customHeight="1" x14ac:dyDescent="0.25"/>
    <row r="850" s="5" customFormat="1" ht="15.75" customHeight="1" x14ac:dyDescent="0.25"/>
    <row r="851" s="5" customFormat="1" ht="15.75" customHeight="1" x14ac:dyDescent="0.25"/>
    <row r="852" s="5" customFormat="1" ht="15.75" customHeight="1" x14ac:dyDescent="0.25"/>
    <row r="853" s="5" customFormat="1" ht="15.75" customHeight="1" x14ac:dyDescent="0.25"/>
    <row r="854" s="5" customFormat="1" ht="15.75" customHeight="1" x14ac:dyDescent="0.25"/>
    <row r="855" s="5" customFormat="1" ht="15.75" customHeight="1" x14ac:dyDescent="0.25"/>
    <row r="856" s="5" customFormat="1" ht="15.75" customHeight="1" x14ac:dyDescent="0.25"/>
    <row r="857" s="5" customFormat="1" ht="15.75" customHeight="1" x14ac:dyDescent="0.25"/>
    <row r="858" s="5" customFormat="1" ht="15.75" customHeight="1" x14ac:dyDescent="0.25"/>
    <row r="859" s="5" customFormat="1" ht="15.75" customHeight="1" x14ac:dyDescent="0.25"/>
    <row r="860" s="5" customFormat="1" ht="15.75" customHeight="1" x14ac:dyDescent="0.25"/>
    <row r="861" s="5" customFormat="1" ht="15.75" customHeight="1" x14ac:dyDescent="0.25"/>
    <row r="862" s="5" customFormat="1" ht="15.75" customHeight="1" x14ac:dyDescent="0.25"/>
    <row r="863" s="5" customFormat="1" ht="15.75" customHeight="1" x14ac:dyDescent="0.25"/>
    <row r="864" s="5" customFormat="1" ht="15.75" customHeight="1" x14ac:dyDescent="0.25"/>
    <row r="865" s="5" customFormat="1" ht="15.75" customHeight="1" x14ac:dyDescent="0.25"/>
    <row r="866" s="5" customFormat="1" ht="15.75" customHeight="1" x14ac:dyDescent="0.25"/>
    <row r="867" s="5" customFormat="1" ht="15.75" customHeight="1" x14ac:dyDescent="0.25"/>
    <row r="868" s="5" customFormat="1" ht="15.75" customHeight="1" x14ac:dyDescent="0.25"/>
    <row r="869" s="5" customFormat="1" ht="15.75" customHeight="1" x14ac:dyDescent="0.25"/>
    <row r="870" s="5" customFormat="1" ht="15.75" customHeight="1" x14ac:dyDescent="0.25"/>
    <row r="871" s="5" customFormat="1" ht="15.75" customHeight="1" x14ac:dyDescent="0.25"/>
    <row r="872" s="5" customFormat="1" ht="15.75" customHeight="1" x14ac:dyDescent="0.25"/>
    <row r="873" s="5" customFormat="1" ht="15.75" customHeight="1" x14ac:dyDescent="0.25"/>
    <row r="874" s="5" customFormat="1" ht="15.75" customHeight="1" x14ac:dyDescent="0.25"/>
    <row r="875" s="5" customFormat="1" ht="15.75" customHeight="1" x14ac:dyDescent="0.25"/>
    <row r="876" s="5" customFormat="1" ht="15.75" customHeight="1" x14ac:dyDescent="0.25"/>
    <row r="877" s="5" customFormat="1" ht="15.75" customHeight="1" x14ac:dyDescent="0.25"/>
    <row r="878" s="5" customFormat="1" ht="15.75" customHeight="1" x14ac:dyDescent="0.25"/>
    <row r="879" s="5" customFormat="1" ht="15.75" customHeight="1" x14ac:dyDescent="0.25"/>
    <row r="880" s="5" customFormat="1" ht="15.75" customHeight="1" x14ac:dyDescent="0.25"/>
    <row r="881" s="5" customFormat="1" ht="15.75" customHeight="1" x14ac:dyDescent="0.25"/>
    <row r="882" s="5" customFormat="1" ht="15.75" customHeight="1" x14ac:dyDescent="0.25"/>
    <row r="883" s="5" customFormat="1" ht="15.75" customHeight="1" x14ac:dyDescent="0.25"/>
    <row r="884" s="5" customFormat="1" ht="15.75" customHeight="1" x14ac:dyDescent="0.25"/>
    <row r="885" s="5" customFormat="1" ht="15.75" customHeight="1" x14ac:dyDescent="0.25"/>
    <row r="886" s="5" customFormat="1" ht="15.75" customHeight="1" x14ac:dyDescent="0.25"/>
    <row r="887" s="5" customFormat="1" ht="15.75" customHeight="1" x14ac:dyDescent="0.25"/>
    <row r="888" s="5" customFormat="1" ht="15.75" customHeight="1" x14ac:dyDescent="0.25"/>
    <row r="889" s="5" customFormat="1" ht="15.75" customHeight="1" x14ac:dyDescent="0.25"/>
    <row r="890" s="5" customFormat="1" ht="15.75" customHeight="1" x14ac:dyDescent="0.25"/>
    <row r="891" s="5" customFormat="1" ht="15.75" customHeight="1" x14ac:dyDescent="0.25"/>
    <row r="892" s="5" customFormat="1" ht="15.75" customHeight="1" x14ac:dyDescent="0.25"/>
    <row r="893" s="5" customFormat="1" ht="15.75" customHeight="1" x14ac:dyDescent="0.25"/>
    <row r="894" s="5" customFormat="1" ht="15.75" customHeight="1" x14ac:dyDescent="0.25"/>
    <row r="895" s="5" customFormat="1" ht="15.75" customHeight="1" x14ac:dyDescent="0.25"/>
    <row r="896" s="5" customFormat="1" ht="15.75" customHeight="1" x14ac:dyDescent="0.25"/>
    <row r="897" s="5" customFormat="1" ht="15.75" customHeight="1" x14ac:dyDescent="0.25"/>
    <row r="898" s="5" customFormat="1" ht="15.75" customHeight="1" x14ac:dyDescent="0.25"/>
    <row r="899" s="5" customFormat="1" ht="15.75" customHeight="1" x14ac:dyDescent="0.25"/>
    <row r="900" s="5" customFormat="1" ht="15.75" customHeight="1" x14ac:dyDescent="0.25"/>
    <row r="901" s="5" customFormat="1" ht="15.75" customHeight="1" x14ac:dyDescent="0.25"/>
    <row r="902" s="5" customFormat="1" ht="15.75" customHeight="1" x14ac:dyDescent="0.25"/>
    <row r="903" s="5" customFormat="1" ht="15.75" customHeight="1" x14ac:dyDescent="0.25"/>
    <row r="904" s="5" customFormat="1" ht="15.75" customHeight="1" x14ac:dyDescent="0.25"/>
    <row r="905" s="5" customFormat="1" ht="15.75" customHeight="1" x14ac:dyDescent="0.25"/>
    <row r="906" s="5" customFormat="1" ht="15.75" customHeight="1" x14ac:dyDescent="0.25"/>
    <row r="907" s="5" customFormat="1" ht="15.75" customHeight="1" x14ac:dyDescent="0.25"/>
    <row r="908" s="5" customFormat="1" ht="15.75" customHeight="1" x14ac:dyDescent="0.25"/>
    <row r="909" s="5" customFormat="1" ht="15.75" customHeight="1" x14ac:dyDescent="0.25"/>
    <row r="910" s="5" customFormat="1" ht="15.75" customHeight="1" x14ac:dyDescent="0.25"/>
    <row r="911" s="5" customFormat="1" ht="15.75" customHeight="1" x14ac:dyDescent="0.25"/>
    <row r="912" s="5" customFormat="1" ht="15.75" customHeight="1" x14ac:dyDescent="0.25"/>
    <row r="913" s="5" customFormat="1" ht="15.75" customHeight="1" x14ac:dyDescent="0.25"/>
    <row r="914" s="5" customFormat="1" ht="15.75" customHeight="1" x14ac:dyDescent="0.25"/>
    <row r="915" s="5" customFormat="1" ht="15.75" customHeight="1" x14ac:dyDescent="0.25"/>
    <row r="916" s="5" customFormat="1" ht="15.75" customHeight="1" x14ac:dyDescent="0.25"/>
    <row r="917" s="5" customFormat="1" ht="15.75" customHeight="1" x14ac:dyDescent="0.25"/>
    <row r="918" s="5" customFormat="1" ht="15.75" customHeight="1" x14ac:dyDescent="0.25"/>
    <row r="919" s="5" customFormat="1" ht="15.75" customHeight="1" x14ac:dyDescent="0.25"/>
    <row r="920" s="5" customFormat="1" ht="15.75" customHeight="1" x14ac:dyDescent="0.25"/>
    <row r="921" s="5" customFormat="1" ht="15.75" customHeight="1" x14ac:dyDescent="0.25"/>
    <row r="922" s="5" customFormat="1" ht="15.75" customHeight="1" x14ac:dyDescent="0.25"/>
    <row r="923" s="5" customFormat="1" ht="15.75" customHeight="1" x14ac:dyDescent="0.25"/>
    <row r="924" s="5" customFormat="1" ht="15.75" customHeight="1" x14ac:dyDescent="0.25"/>
    <row r="925" s="5" customFormat="1" ht="15.75" customHeight="1" x14ac:dyDescent="0.25"/>
    <row r="926" s="5" customFormat="1" ht="15.75" customHeight="1" x14ac:dyDescent="0.25"/>
    <row r="927" s="5" customFormat="1" ht="15.75" customHeight="1" x14ac:dyDescent="0.25"/>
    <row r="928" s="5" customFormat="1" ht="15.75" customHeight="1" x14ac:dyDescent="0.25"/>
    <row r="929" s="5" customFormat="1" ht="15.75" customHeight="1" x14ac:dyDescent="0.25"/>
    <row r="930" s="5" customFormat="1" ht="15.75" customHeight="1" x14ac:dyDescent="0.25"/>
    <row r="931" s="5" customFormat="1" ht="15.75" customHeight="1" x14ac:dyDescent="0.25"/>
    <row r="932" s="5" customFormat="1" ht="15.75" customHeight="1" x14ac:dyDescent="0.25"/>
    <row r="933" s="5" customFormat="1" ht="15.75" customHeight="1" x14ac:dyDescent="0.25"/>
    <row r="934" s="5" customFormat="1" ht="15.75" customHeight="1" x14ac:dyDescent="0.25"/>
    <row r="935" s="5" customFormat="1" ht="15.75" customHeight="1" x14ac:dyDescent="0.25"/>
    <row r="936" s="5" customFormat="1" ht="15.75" customHeight="1" x14ac:dyDescent="0.25"/>
    <row r="937" s="5" customFormat="1" ht="15.75" customHeight="1" x14ac:dyDescent="0.25"/>
    <row r="938" s="5" customFormat="1" ht="15.75" customHeight="1" x14ac:dyDescent="0.25"/>
    <row r="939" s="5" customFormat="1" ht="15.75" customHeight="1" x14ac:dyDescent="0.25"/>
    <row r="940" s="5" customFormat="1" ht="15.75" customHeight="1" x14ac:dyDescent="0.25"/>
    <row r="941" s="5" customFormat="1" ht="15.75" customHeight="1" x14ac:dyDescent="0.25"/>
    <row r="942" s="5" customFormat="1" ht="15.75" customHeight="1" x14ac:dyDescent="0.25"/>
    <row r="943" s="5" customFormat="1" ht="15.75" customHeight="1" x14ac:dyDescent="0.25"/>
    <row r="944" s="5" customFormat="1" ht="15.75" customHeight="1" x14ac:dyDescent="0.25"/>
    <row r="945" s="5" customFormat="1" ht="15.75" customHeight="1" x14ac:dyDescent="0.25"/>
    <row r="946" s="5" customFormat="1" ht="15.75" customHeight="1" x14ac:dyDescent="0.25"/>
    <row r="947" s="5" customFormat="1" ht="15.75" customHeight="1" x14ac:dyDescent="0.25"/>
    <row r="948" s="5" customFormat="1" ht="15.75" customHeight="1" x14ac:dyDescent="0.25"/>
    <row r="949" s="5" customFormat="1" ht="15.75" customHeight="1" x14ac:dyDescent="0.25"/>
    <row r="950" s="5" customFormat="1" ht="15.75" customHeight="1" x14ac:dyDescent="0.25"/>
    <row r="951" s="5" customFormat="1" ht="15.75" customHeight="1" x14ac:dyDescent="0.25"/>
    <row r="952" s="5" customFormat="1" ht="15.75" customHeight="1" x14ac:dyDescent="0.25"/>
    <row r="953" s="5" customFormat="1" ht="15.75" customHeight="1" x14ac:dyDescent="0.25"/>
    <row r="954" s="5" customFormat="1" ht="15.75" customHeight="1" x14ac:dyDescent="0.25"/>
    <row r="955" s="5" customFormat="1" ht="15.75" customHeight="1" x14ac:dyDescent="0.25"/>
    <row r="956" s="5" customFormat="1" ht="15.75" customHeight="1" x14ac:dyDescent="0.25"/>
    <row r="957" s="5" customFormat="1" ht="15.75" customHeight="1" x14ac:dyDescent="0.25"/>
    <row r="958" s="5" customFormat="1" ht="15.75" customHeight="1" x14ac:dyDescent="0.25"/>
    <row r="959" s="5" customFormat="1" ht="15.75" customHeight="1" x14ac:dyDescent="0.25"/>
    <row r="960" s="5" customFormat="1" ht="15.75" customHeight="1" x14ac:dyDescent="0.25"/>
    <row r="961" s="5" customFormat="1" ht="15.75" customHeight="1" x14ac:dyDescent="0.25"/>
    <row r="962" s="5" customFormat="1" ht="15.75" customHeight="1" x14ac:dyDescent="0.25"/>
    <row r="963" s="5" customFormat="1" ht="15.75" customHeight="1" x14ac:dyDescent="0.25"/>
    <row r="964" s="5" customFormat="1" ht="15.75" customHeight="1" x14ac:dyDescent="0.25"/>
    <row r="965" s="5" customFormat="1" ht="15.75" customHeight="1" x14ac:dyDescent="0.25"/>
    <row r="966" s="5" customFormat="1" ht="15.75" customHeight="1" x14ac:dyDescent="0.25"/>
    <row r="967" s="5" customFormat="1" ht="15.75" customHeight="1" x14ac:dyDescent="0.25"/>
    <row r="968" s="5" customFormat="1" ht="15.75" customHeight="1" x14ac:dyDescent="0.25"/>
    <row r="969" s="5" customFormat="1" ht="15.75" customHeight="1" x14ac:dyDescent="0.25"/>
    <row r="970" s="5" customFormat="1" ht="15.75" customHeight="1" x14ac:dyDescent="0.25"/>
    <row r="971" s="5" customFormat="1" ht="15.75" customHeight="1" x14ac:dyDescent="0.25"/>
    <row r="972" s="5" customFormat="1" ht="15.75" customHeight="1" x14ac:dyDescent="0.25"/>
    <row r="973" s="5" customFormat="1" ht="15.75" customHeight="1" x14ac:dyDescent="0.25"/>
    <row r="974" s="5" customFormat="1" ht="15.75" customHeight="1" x14ac:dyDescent="0.25"/>
    <row r="975" s="5" customFormat="1" ht="15.75" customHeight="1" x14ac:dyDescent="0.25"/>
    <row r="976" s="5" customFormat="1" ht="15.75" customHeight="1" x14ac:dyDescent="0.25"/>
    <row r="977" s="5" customFormat="1" ht="15.75" customHeight="1" x14ac:dyDescent="0.25"/>
    <row r="978" s="5" customFormat="1" ht="15.75" customHeight="1" x14ac:dyDescent="0.25"/>
    <row r="979" s="5" customFormat="1" ht="15.75" customHeight="1" x14ac:dyDescent="0.25"/>
    <row r="980" s="5" customFormat="1" ht="15.75" customHeight="1" x14ac:dyDescent="0.25"/>
    <row r="981" s="5" customFormat="1" ht="15.75" customHeight="1" x14ac:dyDescent="0.25"/>
    <row r="982" s="5" customFormat="1" ht="15.75" customHeight="1" x14ac:dyDescent="0.25"/>
    <row r="983" s="5" customFormat="1" ht="15.75" customHeight="1" x14ac:dyDescent="0.25"/>
    <row r="984" s="5" customFormat="1" ht="15.75" customHeight="1" x14ac:dyDescent="0.25"/>
    <row r="985" s="5" customFormat="1" ht="15.75" customHeight="1" x14ac:dyDescent="0.25"/>
    <row r="986" s="5" customFormat="1" ht="15.75" customHeight="1" x14ac:dyDescent="0.25"/>
    <row r="987" s="5" customFormat="1" ht="15.75" customHeight="1" x14ac:dyDescent="0.25"/>
    <row r="988" s="5" customFormat="1" ht="15.75" customHeight="1" x14ac:dyDescent="0.25"/>
    <row r="989" s="5" customFormat="1" ht="15.75" customHeight="1" x14ac:dyDescent="0.25"/>
    <row r="990" s="5" customFormat="1" ht="15.75" customHeight="1" x14ac:dyDescent="0.25"/>
    <row r="991" s="5" customFormat="1" ht="15.75" customHeight="1" x14ac:dyDescent="0.25"/>
    <row r="992" s="5" customFormat="1" ht="15.75" customHeight="1" x14ac:dyDescent="0.25"/>
    <row r="993" s="5" customFormat="1" ht="15.75" customHeight="1" x14ac:dyDescent="0.25"/>
    <row r="994" s="5" customFormat="1" ht="15.75" customHeight="1" x14ac:dyDescent="0.25"/>
    <row r="995" s="5" customFormat="1" ht="15.75" customHeight="1" x14ac:dyDescent="0.25"/>
  </sheetData>
  <phoneticPr fontId="6" type="noConversion"/>
  <dataValidations count="1">
    <dataValidation type="custom" allowBlank="1" showInputMessage="1" showErrorMessage="1" sqref="H26" xr:uid="{755C67B3-35A1-41CF-AFAD-859DFFCA6014}">
      <formula1>IF(H26="",TRUE,SUM(--_xlfn.TEXTAFTER(_xlfn.TEXTSPLIT(H26,"-"),"."))&lt;=J26)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C7631-AC02-44ED-BAE0-F45A7DEEB5C1}">
  <dimension ref="A1:K26"/>
  <sheetViews>
    <sheetView zoomScale="68" zoomScaleNormal="70" workbookViewId="0">
      <selection activeCell="J11" sqref="J11"/>
    </sheetView>
  </sheetViews>
  <sheetFormatPr defaultRowHeight="13.2" x14ac:dyDescent="0.25"/>
  <cols>
    <col min="1" max="1" width="10" style="5" bestFit="1" customWidth="1"/>
    <col min="2" max="2" width="12.6640625" style="5" bestFit="1" customWidth="1"/>
    <col min="3" max="3" width="69" style="5" bestFit="1" customWidth="1"/>
    <col min="4" max="4" width="8.88671875" style="5"/>
    <col min="5" max="5" width="69" style="5" bestFit="1" customWidth="1"/>
    <col min="6" max="6" width="12.21875" style="5" bestFit="1" customWidth="1"/>
    <col min="7" max="7" width="64.5546875" style="5" bestFit="1" customWidth="1"/>
    <col min="8" max="8" width="16.6640625" style="5" bestFit="1" customWidth="1"/>
    <col min="9" max="9" width="10.44140625" style="5" bestFit="1" customWidth="1"/>
    <col min="10" max="10" width="15" style="5" bestFit="1" customWidth="1"/>
    <col min="11" max="11" width="8" style="5" bestFit="1" customWidth="1"/>
    <col min="12" max="16384" width="8.88671875" style="5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43</v>
      </c>
      <c r="H1" s="1" t="s">
        <v>48</v>
      </c>
    </row>
    <row r="2" spans="1:11" x14ac:dyDescent="0.25">
      <c r="A2" s="2">
        <v>3</v>
      </c>
      <c r="B2" s="2" t="s">
        <v>57</v>
      </c>
      <c r="C2" s="2" t="str">
        <f>A2&amp;"."&amp;A2&amp;"."&amp;A2&amp;".0"</f>
        <v>3.3.3.0</v>
      </c>
      <c r="D2" s="2" t="s">
        <v>6</v>
      </c>
      <c r="E2" s="2" t="s">
        <v>44</v>
      </c>
      <c r="F2" s="2" t="s">
        <v>55</v>
      </c>
      <c r="G2" s="2" t="s">
        <v>44</v>
      </c>
      <c r="H2" s="2" t="str">
        <f>'Site 1 (HUB)'!H2</f>
        <v>TACACS-KEY</v>
      </c>
    </row>
    <row r="3" spans="1:11" ht="13.8" x14ac:dyDescent="0.25">
      <c r="A3" s="6"/>
      <c r="B3" s="7"/>
      <c r="C3" s="6"/>
      <c r="D3" s="6"/>
      <c r="E3" s="6"/>
      <c r="F3" s="6"/>
      <c r="G3" s="6"/>
      <c r="H3" s="6"/>
    </row>
    <row r="4" spans="1:11" ht="13.8" x14ac:dyDescent="0.25">
      <c r="A4" s="8" t="s">
        <v>7</v>
      </c>
      <c r="B4" s="8" t="s">
        <v>8</v>
      </c>
      <c r="C4" s="8" t="s">
        <v>9</v>
      </c>
      <c r="D4" s="8" t="s">
        <v>10</v>
      </c>
      <c r="E4" s="8" t="s">
        <v>11</v>
      </c>
      <c r="F4" s="8" t="s">
        <v>12</v>
      </c>
      <c r="G4" s="9" t="s">
        <v>13</v>
      </c>
      <c r="H4" s="9" t="s">
        <v>14</v>
      </c>
      <c r="I4" s="9" t="s">
        <v>33</v>
      </c>
      <c r="J4" s="10" t="s">
        <v>42</v>
      </c>
      <c r="K4" s="10" t="s">
        <v>34</v>
      </c>
    </row>
    <row r="5" spans="1:11" ht="13.8" x14ac:dyDescent="0.25">
      <c r="A5" s="11" t="s">
        <v>15</v>
      </c>
      <c r="B5" s="12">
        <v>10</v>
      </c>
      <c r="C5" s="11">
        <v>0</v>
      </c>
      <c r="D5" s="11" t="str">
        <f>10&amp;"."&amp;(B5+A2)&amp;"."&amp;0&amp;"."&amp;0</f>
        <v>10.13.0.0</v>
      </c>
      <c r="E5" s="11" t="str">
        <f t="shared" ref="E5:E8" si="0">LEFT(D5,LEN(D5)-1)&amp;"1"</f>
        <v>10.13.0.1</v>
      </c>
      <c r="F5" s="11" t="s">
        <v>16</v>
      </c>
      <c r="G5" s="11" t="str">
        <f t="shared" ref="G5:G8" si="1">LEFT(D5,LEN(D5)-1)&amp;"1"</f>
        <v>10.13.0.1</v>
      </c>
      <c r="H5" s="11" t="str">
        <f ca="1">IFERROR(__xludf.DUMMYFUNCTION("REGEXREPLACE(D5,""\.[0-9]+\.[0-9]+$"","".255.254"")"),"10.12.255.254")</f>
        <v>10.12.255.254</v>
      </c>
      <c r="I5" s="11">
        <v>10</v>
      </c>
      <c r="J5" s="13">
        <v>21</v>
      </c>
      <c r="K5" s="13">
        <v>5</v>
      </c>
    </row>
    <row r="6" spans="1:11" ht="13.8" x14ac:dyDescent="0.25">
      <c r="A6" s="11" t="s">
        <v>17</v>
      </c>
      <c r="B6" s="12">
        <v>20</v>
      </c>
      <c r="C6" s="11">
        <v>0</v>
      </c>
      <c r="D6" s="11" t="str">
        <f>10&amp;"."&amp;(B6+A2)&amp;"."&amp;0&amp;"."&amp;0</f>
        <v>10.23.0.0</v>
      </c>
      <c r="E6" s="11" t="str">
        <f t="shared" si="0"/>
        <v>10.23.0.1</v>
      </c>
      <c r="F6" s="11" t="s">
        <v>16</v>
      </c>
      <c r="G6" s="11" t="str">
        <f t="shared" si="1"/>
        <v>10.23.0.1</v>
      </c>
      <c r="H6" s="11" t="str">
        <f ca="1">IFERROR(__xludf.DUMMYFUNCTION("REGEXREPLACE(D6,""\.[0-9]+\.[0-9]+$"","".255.254"")"),"10.22.255.254")</f>
        <v>10.22.255.254</v>
      </c>
      <c r="I6" s="11">
        <v>10</v>
      </c>
      <c r="J6" s="13">
        <v>11</v>
      </c>
      <c r="K6" s="13">
        <v>2</v>
      </c>
    </row>
    <row r="7" spans="1:11" ht="13.8" x14ac:dyDescent="0.25">
      <c r="A7" s="11" t="s">
        <v>18</v>
      </c>
      <c r="B7" s="12">
        <v>30</v>
      </c>
      <c r="C7" s="11">
        <v>0</v>
      </c>
      <c r="D7" s="11" t="str">
        <f>10&amp;"."&amp;(B7+A2)&amp;"."&amp;0&amp;"."&amp;0</f>
        <v>10.33.0.0</v>
      </c>
      <c r="E7" s="11" t="str">
        <f t="shared" si="0"/>
        <v>10.33.0.1</v>
      </c>
      <c r="F7" s="11" t="s">
        <v>16</v>
      </c>
      <c r="G7" s="11" t="str">
        <f t="shared" si="1"/>
        <v>10.33.0.1</v>
      </c>
      <c r="H7" s="11" t="str">
        <f ca="1">IFERROR(__xludf.DUMMYFUNCTION("REGEXREPLACE(D7,""\.[0-9]+\.[0-9]+$"","".255.254"")"),"10.32.255.254")</f>
        <v>10.32.255.254</v>
      </c>
      <c r="I7" s="11">
        <v>10</v>
      </c>
      <c r="J7" s="5">
        <v>42</v>
      </c>
      <c r="K7" s="5">
        <v>7</v>
      </c>
    </row>
    <row r="8" spans="1:11" ht="13.8" x14ac:dyDescent="0.25">
      <c r="A8" s="11" t="s">
        <v>51</v>
      </c>
      <c r="B8" s="12">
        <v>40</v>
      </c>
      <c r="C8" s="11">
        <v>0</v>
      </c>
      <c r="D8" s="11" t="str">
        <f>10&amp;"."&amp;(B8+A2)&amp;"."&amp;0&amp;"."&amp;0</f>
        <v>10.43.0.0</v>
      </c>
      <c r="E8" s="11" t="str">
        <f t="shared" si="0"/>
        <v>10.43.0.1</v>
      </c>
      <c r="F8" s="11" t="s">
        <v>16</v>
      </c>
      <c r="G8" s="11" t="str">
        <f t="shared" si="1"/>
        <v>10.43.0.1</v>
      </c>
      <c r="H8" s="11" t="str">
        <f ca="1">IFERROR(__xludf.DUMMYFUNCTION("REGEXREPLACE(D7,""\.[0-9]+\.[0-9]+$"","".255.254"")"),"10.31.255.254")</f>
        <v>10.31.255.254</v>
      </c>
      <c r="I8" s="11">
        <v>10</v>
      </c>
      <c r="J8" s="5">
        <v>41</v>
      </c>
      <c r="K8" s="5">
        <v>10</v>
      </c>
    </row>
    <row r="9" spans="1:11" x14ac:dyDescent="0.25">
      <c r="A9" s="3"/>
      <c r="B9" s="3"/>
    </row>
    <row r="10" spans="1:11" ht="13.8" x14ac:dyDescent="0.25">
      <c r="A10" s="8" t="s">
        <v>7</v>
      </c>
      <c r="B10" s="8" t="s">
        <v>19</v>
      </c>
      <c r="C10" s="8" t="s">
        <v>20</v>
      </c>
    </row>
    <row r="11" spans="1:11" ht="13.8" x14ac:dyDescent="0.25">
      <c r="A11" s="11" t="s">
        <v>15</v>
      </c>
      <c r="B11" s="11">
        <v>10</v>
      </c>
      <c r="C11" s="11" t="str">
        <f>A2&amp;"."&amp;A2&amp;"."&amp;A2&amp;"."&amp;(B11)</f>
        <v>3.3.3.10</v>
      </c>
    </row>
    <row r="12" spans="1:11" ht="13.8" x14ac:dyDescent="0.25">
      <c r="A12" s="11" t="s">
        <v>17</v>
      </c>
      <c r="B12" s="11">
        <v>20</v>
      </c>
      <c r="C12" s="11" t="str">
        <f>A2&amp;"."&amp;A2&amp;"."&amp;A2&amp;"."&amp;(B12)</f>
        <v>3.3.3.20</v>
      </c>
    </row>
    <row r="13" spans="1:11" ht="13.8" x14ac:dyDescent="0.25">
      <c r="A13" s="11" t="s">
        <v>18</v>
      </c>
      <c r="B13" s="11">
        <v>30</v>
      </c>
      <c r="C13" s="11" t="str">
        <f>A2&amp;"."&amp;A2&amp;"."&amp;A2&amp;"."&amp;(B13)</f>
        <v>3.3.3.30</v>
      </c>
    </row>
    <row r="14" spans="1:11" ht="13.8" x14ac:dyDescent="0.25">
      <c r="A14" s="11" t="s">
        <v>51</v>
      </c>
      <c r="B14" s="11">
        <v>40</v>
      </c>
      <c r="C14" s="11" t="str">
        <f t="shared" ref="C14" si="2">$A$2&amp;"."&amp;$A$2&amp;"."&amp;$A$2&amp;"."&amp;(B14)</f>
        <v>3.3.3.40</v>
      </c>
    </row>
    <row r="16" spans="1:11" ht="13.8" x14ac:dyDescent="0.25">
      <c r="A16" s="8" t="s">
        <v>21</v>
      </c>
      <c r="B16" s="8" t="s">
        <v>7</v>
      </c>
      <c r="C16" s="8" t="s">
        <v>22</v>
      </c>
      <c r="D16" s="8" t="s">
        <v>12</v>
      </c>
      <c r="E16" s="8" t="s">
        <v>23</v>
      </c>
      <c r="F16" s="9" t="s">
        <v>24</v>
      </c>
      <c r="G16" s="9" t="s">
        <v>25</v>
      </c>
      <c r="H16" s="4" t="s">
        <v>26</v>
      </c>
      <c r="I16" s="4" t="s">
        <v>27</v>
      </c>
      <c r="J16" s="4" t="s">
        <v>28</v>
      </c>
    </row>
    <row r="17" spans="1:10" ht="13.8" x14ac:dyDescent="0.25">
      <c r="A17" s="11" t="s">
        <v>29</v>
      </c>
      <c r="B17" s="11" t="s">
        <v>15</v>
      </c>
      <c r="C17" s="11" t="str">
        <f>172&amp;"."&amp;16&amp;"."&amp;0&amp;"."&amp;(H17+$A$2)</f>
        <v>172.16.0.13</v>
      </c>
      <c r="D17" s="11" t="s">
        <v>30</v>
      </c>
      <c r="E17" s="11" t="str">
        <f t="shared" ref="E17:E20" si="3">$C$2</f>
        <v>3.3.3.0</v>
      </c>
      <c r="F17" s="11"/>
      <c r="G17" s="11" t="s">
        <v>31</v>
      </c>
      <c r="H17" s="2">
        <v>10</v>
      </c>
      <c r="I17" s="2">
        <f t="array" ref="I17">_xlfn.XLOOKUP(1,( 'Site 1 (HUB)'!A:A=A17 )*( 'Site 1 (HUB)'!B:B=B17 ),'Site 1 (HUB)'!I:I)</f>
        <v>0</v>
      </c>
      <c r="J17" s="2"/>
    </row>
    <row r="18" spans="1:10" ht="13.8" x14ac:dyDescent="0.25">
      <c r="A18" s="11" t="s">
        <v>45</v>
      </c>
      <c r="B18" s="11" t="s">
        <v>17</v>
      </c>
      <c r="C18" s="11" t="str">
        <f>172&amp;"."&amp;16&amp;"."&amp;0&amp;"."&amp;(H18+$A$2)</f>
        <v>172.16.0.23</v>
      </c>
      <c r="D18" s="11" t="s">
        <v>30</v>
      </c>
      <c r="E18" s="11" t="str">
        <f t="shared" si="3"/>
        <v>3.3.3.0</v>
      </c>
      <c r="F18" s="11"/>
      <c r="G18" s="11" t="s">
        <v>31</v>
      </c>
      <c r="H18" s="2">
        <v>20</v>
      </c>
      <c r="I18" s="2" cm="1">
        <f t="array" ref="I18">_xlfn.XLOOKUP(1,( 'Site 1 (HUB)'!A:A=A18 )*( 'Site 1 (HUB)'!B:B=B18 ),'Site 1 (HUB)'!I:I)</f>
        <v>0</v>
      </c>
      <c r="J18" s="2"/>
    </row>
    <row r="19" spans="1:10" ht="13.8" x14ac:dyDescent="0.25">
      <c r="A19" s="11" t="s">
        <v>32</v>
      </c>
      <c r="B19" s="11" t="s">
        <v>18</v>
      </c>
      <c r="C19" s="11" t="str">
        <f>172&amp;"."&amp;16&amp;"."&amp;0&amp;"."&amp;(H19+$A$2)</f>
        <v>172.16.0.33</v>
      </c>
      <c r="D19" s="11" t="s">
        <v>30</v>
      </c>
      <c r="E19" s="11" t="str">
        <f t="shared" si="3"/>
        <v>3.3.3.0</v>
      </c>
      <c r="F19" s="11"/>
      <c r="G19" s="11" t="s">
        <v>31</v>
      </c>
      <c r="H19" s="2">
        <v>30</v>
      </c>
      <c r="I19" s="2" t="b">
        <f t="array" ref="I19">_xlfn.XLOOKUP(1,( 'Site 1 (HUB)'!A:A=A19 )*( 'Site 1 (HUB)'!B:B=B19 ),'Site 1 (HUB)'!I:I)</f>
        <v>1</v>
      </c>
      <c r="J19" s="2"/>
    </row>
    <row r="20" spans="1:10" ht="13.8" x14ac:dyDescent="0.25">
      <c r="A20" s="11" t="s">
        <v>52</v>
      </c>
      <c r="B20" s="11" t="s">
        <v>51</v>
      </c>
      <c r="C20" s="11" t="str">
        <f t="shared" ref="C20" si="4">172&amp;"."&amp;16&amp;"."&amp;0&amp;"."&amp;(H20+$A$2)</f>
        <v>172.16.0.43</v>
      </c>
      <c r="D20" s="11" t="s">
        <v>30</v>
      </c>
      <c r="E20" s="14" t="str">
        <f t="shared" si="3"/>
        <v>3.3.3.0</v>
      </c>
      <c r="F20" s="11"/>
      <c r="G20" s="11" t="s">
        <v>31</v>
      </c>
      <c r="H20" s="2">
        <v>40</v>
      </c>
      <c r="I20" s="2" t="b">
        <v>1</v>
      </c>
      <c r="J20" s="2"/>
    </row>
    <row r="22" spans="1:10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43</v>
      </c>
    </row>
    <row r="23" spans="1:10" x14ac:dyDescent="0.25">
      <c r="A23" s="2">
        <f>A2</f>
        <v>3</v>
      </c>
      <c r="B23" s="2" t="s">
        <v>6</v>
      </c>
      <c r="C23" s="2" t="s">
        <v>44</v>
      </c>
      <c r="D23" s="2" t="s">
        <v>55</v>
      </c>
      <c r="E23" s="2" t="s">
        <v>44</v>
      </c>
    </row>
    <row r="25" spans="1:10" ht="13.8" x14ac:dyDescent="0.25">
      <c r="A25" s="8" t="s">
        <v>35</v>
      </c>
      <c r="B25" s="8" t="s">
        <v>36</v>
      </c>
      <c r="C25" s="8" t="s">
        <v>37</v>
      </c>
      <c r="D25" s="8" t="s">
        <v>11</v>
      </c>
      <c r="E25" s="8" t="s">
        <v>12</v>
      </c>
      <c r="F25" s="8" t="s">
        <v>39</v>
      </c>
      <c r="G25" s="5" t="s">
        <v>49</v>
      </c>
      <c r="H25" s="8" t="s">
        <v>38</v>
      </c>
      <c r="I25" s="1" t="s">
        <v>1</v>
      </c>
      <c r="J25" s="1" t="s">
        <v>41</v>
      </c>
    </row>
    <row r="26" spans="1:10" ht="13.8" x14ac:dyDescent="0.25">
      <c r="A26" s="11">
        <f>(ROW())-(ROW()-1)</f>
        <v>1</v>
      </c>
      <c r="B26" s="11">
        <v>10</v>
      </c>
      <c r="C26" s="11" t="str">
        <f>LEFT($G$5,LEN($G$5)-1)&amp;(RIGHT($G$5,1)+A26)</f>
        <v>10.13.0.2</v>
      </c>
      <c r="D26" s="11" t="str">
        <f>$E$5</f>
        <v>10.13.0.1</v>
      </c>
      <c r="E26" s="11" t="str">
        <f>$F$5</f>
        <v>255.255.0.0</v>
      </c>
      <c r="F26" s="11">
        <v>24</v>
      </c>
      <c r="G26" s="15">
        <v>0</v>
      </c>
      <c r="H26" s="11" t="s">
        <v>54</v>
      </c>
      <c r="I26" s="2" t="s">
        <v>40</v>
      </c>
      <c r="J26" s="2">
        <f>$F26-$G26-2</f>
        <v>22</v>
      </c>
    </row>
  </sheetData>
  <dataValidations count="1">
    <dataValidation type="custom" allowBlank="1" showInputMessage="1" showErrorMessage="1" sqref="H26" xr:uid="{934D8C77-8A89-4EA3-A06E-55FDF23AAEE7}">
      <formula1>IF(H26="",TRUE,SUM(--_xlfn.TEXTAFTER(_xlfn.TEXTSPLIT(H26,"-"),"."))&lt;=J26)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2026-09-08T12:26:17Z</dcterms:modified>
</cp:coreProperties>
</file>