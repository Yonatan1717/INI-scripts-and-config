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0C97A853-CC1E-42CA-8A95-12320B5D3AAD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Site 3" sheetId="4" r:id="rId3"/>
    <sheet name="FLOW_POLICY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4" l="1"/>
  <c r="H8" i="4" s="1" a="1"/>
  <c r="H8" i="4" s="1"/>
  <c r="D7" i="4"/>
  <c r="H7" i="4" s="1" a="1"/>
  <c r="H7" i="4" s="1"/>
  <c r="H6" i="4" a="1"/>
  <c r="H6" i="4" s="1"/>
  <c r="G6" i="4" a="1"/>
  <c r="G6" i="4" s="1"/>
  <c r="D6" i="4"/>
  <c r="E6" i="4" s="1"/>
  <c r="D5" i="4"/>
  <c r="G5" i="4" s="1" a="1"/>
  <c r="G5" i="4" s="1"/>
  <c r="H5" i="2" a="1"/>
  <c r="H5" i="2" s="1"/>
  <c r="L25" i="2"/>
  <c r="C25" i="2"/>
  <c r="D8" i="2"/>
  <c r="H8" i="2" s="1" a="1"/>
  <c r="H8" i="2" s="1"/>
  <c r="D7" i="2"/>
  <c r="G7" i="2" s="1" a="1"/>
  <c r="G7" i="2" s="1"/>
  <c r="H6" i="2" a="1"/>
  <c r="H6" i="2" s="1"/>
  <c r="G6" i="2" a="1"/>
  <c r="G6" i="2" s="1"/>
  <c r="D6" i="2"/>
  <c r="E6" i="2" s="1"/>
  <c r="D5" i="2"/>
  <c r="H8" i="1" a="1"/>
  <c r="H8" i="1" s="1"/>
  <c r="H7" i="1" a="1"/>
  <c r="H7" i="1" s="1"/>
  <c r="H6" i="1" a="1"/>
  <c r="H6" i="1" s="1"/>
  <c r="H5" i="1" a="1"/>
  <c r="H5" i="1" s="1"/>
  <c r="G8" i="1" a="1"/>
  <c r="G8" i="1" s="1"/>
  <c r="G7" i="1" a="1"/>
  <c r="G7" i="1" s="1"/>
  <c r="G6" i="1" a="1"/>
  <c r="G6" i="1" s="1"/>
  <c r="G5" i="1" a="1"/>
  <c r="G5" i="1"/>
  <c r="D8" i="1"/>
  <c r="D7" i="1"/>
  <c r="D6" i="1"/>
  <c r="D5" i="1"/>
  <c r="E5" i="1" s="1"/>
  <c r="C19" i="1"/>
  <c r="C18" i="1"/>
  <c r="C17" i="1"/>
  <c r="E8" i="4" l="1"/>
  <c r="E7" i="4"/>
  <c r="E5" i="4"/>
  <c r="H5" i="4" a="1"/>
  <c r="H5" i="4" s="1"/>
  <c r="G8" i="4" a="1"/>
  <c r="G8" i="4" s="1"/>
  <c r="G7" i="4" a="1"/>
  <c r="G7" i="4" s="1"/>
  <c r="H7" i="2" a="1"/>
  <c r="H7" i="2" s="1"/>
  <c r="E7" i="2"/>
  <c r="E5" i="2"/>
  <c r="G5" i="2" a="1"/>
  <c r="G5" i="2" s="1"/>
  <c r="E8" i="2"/>
  <c r="G8" i="2" a="1"/>
  <c r="G8" i="2" s="1"/>
  <c r="L2" i="2" l="1"/>
  <c r="E25" i="4"/>
  <c r="A25" i="4"/>
  <c r="A22" i="4"/>
  <c r="I19" i="4"/>
  <c r="C19" i="4"/>
  <c r="I18" i="4" a="1"/>
  <c r="I18" i="4" s="1"/>
  <c r="C18" i="4"/>
  <c r="I17" i="4" a="1"/>
  <c r="I17" i="4" s="1"/>
  <c r="C17" i="4"/>
  <c r="D14" i="4"/>
  <c r="D13" i="4"/>
  <c r="D12" i="4"/>
  <c r="D11" i="4"/>
  <c r="K2" i="4"/>
  <c r="J2" i="4"/>
  <c r="H2" i="4"/>
  <c r="C2" i="4"/>
  <c r="E25" i="2"/>
  <c r="A25" i="2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K2" i="2"/>
  <c r="J2" i="2"/>
  <c r="H2" i="2"/>
  <c r="C2" i="2"/>
  <c r="K26" i="1"/>
  <c r="E26" i="1"/>
  <c r="E25" i="1"/>
  <c r="A25" i="1"/>
  <c r="K25" i="1" s="1"/>
  <c r="A22" i="1"/>
  <c r="D14" i="1"/>
  <c r="D13" i="1"/>
  <c r="D12" i="1"/>
  <c r="D11" i="1"/>
  <c r="C2" i="1"/>
  <c r="C25" i="4" l="1"/>
  <c r="D25" i="2"/>
  <c r="K25" i="2"/>
  <c r="D25" i="4"/>
  <c r="K25" i="4"/>
  <c r="E6" i="1"/>
  <c r="E7" i="1"/>
  <c r="E8" i="1"/>
  <c r="D26" i="1"/>
  <c r="C26" i="1"/>
  <c r="C25" i="1" l="1"/>
  <c r="D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<sst xmlns="http://schemas.openxmlformats.org/spreadsheetml/2006/main" count="374" uniqueCount="97">
  <si>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</si>
  <si>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</si>
  <si>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</si>
  <si>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</si>
  <si>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</si>
  <si>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</si>
  <si>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</si>
  <si>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</si>
  <si>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</si>
  <si>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</si>
  <si>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</si>
  <si>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</si>
  <si>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</si>
  <si>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</si>
  <si>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</si>
  <si>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</si>
  <si>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</si>
  <si>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</si>
  <si>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10.11.0.10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</si>
  <si>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</si>
  <si>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</si>
  <si>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</si>
  <si>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</si>
  <si>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</si>
  <si>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</si>
  <si>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</si>
  <si>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</si>
  <si>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</si>
  <si>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</si>
  <si>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</si>
  <si>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</si>
  <si>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INET</t>
  </si>
  <si>
    <t>UNET</t>
  </si>
  <si>
    <t>PA</t>
  </si>
  <si>
    <t>rt</t>
  </si>
  <si>
    <t>loopback</t>
  </si>
  <si>
    <t>laddr</t>
  </si>
  <si>
    <t>1337:10</t>
  </si>
  <si>
    <t>1337:20</t>
  </si>
  <si>
    <t>1337:30</t>
  </si>
  <si>
    <t>1337:40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</si>
  <si>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</si>
  <si>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</si>
  <si>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</si>
  <si>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</si>
  <si>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</si>
  <si>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</si>
  <si>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</si>
  <si>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</si>
  <si>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</si>
  <si>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</si>
  <si>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</si>
  <si>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</si>
  <si>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</si>
  <si>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etherchan_num</t>
  </si>
  <si>
    <t>span_mode</t>
  </si>
  <si>
    <t>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</si>
  <si>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</si>
  <si>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</si>
  <si>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</si>
  <si>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</si>
  <si>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</si>
  <si>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</si>
  <si>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</si>
  <si>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</si>
  <si>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</si>
  <si>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10.1-200.1-20.5-30.5-40.2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</si>
  <si>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</si>
  <si>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</si>
  <si>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</si>
  <si>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</si>
  <si>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</si>
  <si>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</si>
  <si>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</si>
  <si>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</si>
  <si>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</si>
  <si>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</si>
  <si>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</si>
  <si>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</si>
  <si>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</si>
  <si>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</si>
  <si>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</si>
  <si>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</si>
  <si>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</si>
  <si>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</si>
  <si>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</si>
  <si>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</si>
  <si>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</si>
  <si>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</si>
  <si>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</si>
  <si>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</si>
  <si>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</si>
  <si>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</si>
  <si>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MONITORING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</si>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</sst>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1" fillId="0" borderId="0" xfId="0" applyFont="1"/>
    <xf numFmtId="0" fontId="14" fillId="0" borderId="0" xfId="0" applyFont="1"/>
    <xf numFmtId="0" fontId="14" fillId="0" borderId="0" xfId="0" applyFont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left" vertical="center"/>
    </xf>
    <xf numFmtId="0" fontId="16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9" fillId="2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/>
    <xf numFmtId="0" fontId="18" fillId="0" borderId="0" xfId="0" applyFont="1"/>
  </cellXfs>
  <cellStyles count="1">
    <cellStyle name="Normal" xfId="0" builtinId="0"/>
  </cellStyles>
  <dxfs count="131">
    <dxf>
      <font>
        <u val="none"/>
        <sz val="11"/>
        <color rgb="FF000000"/>
        <name val="Arial"/>
        <scheme val="none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z val="11"/>
        <color auto="1"/>
        <family val="2"/>
      </font>
      <numFmt numFmtId="0" formatCode="General"/>
    </dxf>
    <dxf>
      <font>
        <u val="none"/>
        <sz val="11"/>
        <color rgb="FF000000"/>
        <name val="Arial"/>
        <scheme val="none"/>
      </font>
      <numFmt numFmtId="30" formatCode="@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82"/>
    <tableColumn id="8" xr3:uid="{00000000-0010-0000-0000-000008000000}" name="tacacs_key" dataDxfId="81"/>
    <tableColumn id="9" xr3:uid="{00000000-0010-0000-0000-000009000000}" name="DHCP" dataDxfId="80"/>
    <tableColumn id="10" xr3:uid="{00000000-0010-0000-0000-00000A000000}" name="dns_servers" dataDxfId="79"/>
    <tableColumn id="11" xr3:uid="{A73DBE03-6D2F-4B6E-9364-0ACF9BE031A7}" name="tacacs_server_ip" dataDxfId="78"/>
    <tableColumn id="12" xr3:uid="{610238BB-82C8-435E-9688-053D824B1B9E}" name="syslog_server_ip" dataDxfId="77"/>
    <tableColumn id="13" xr3:uid="{E7D67AED-C401-4BA3-8148-89AED6E825C5}" name="urpf_mode" dataDxfId="76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4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>
      <calculatedColumnFormula array="1">_xlfn.LET(
_xlpm.net,SUM(--_xlfn.TEXTSPLIT(Tabell6[[#This Row],[nett id]],".")*{16777216,65536,256,1}),
_xlpm.addr,_xlpm.net+1,
_xlfn.TEXTJOIN(".",TRUE,MOD(QUOTIENT(_xlpm.addr,{16777216,65536,256,1}),256))
)</calculatedColumnFormula>
    </tableColumn>
    <tableColumn id="8" xr3:uid="{00000000-0010-0000-0100-000008000000}" name="address max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75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00000000-0010-0000-0200-000002000000}" name="rt" dataDxfId="74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5">
      <calculatedColumnFormula>172&amp;"."&amp;16&amp;"."&amp;$H17&amp;"."&amp;($A$2)</calculatedColumnFormula>
    </tableColumn>
    <tableColumn id="4" xr3:uid="{00000000-0010-0000-0300-000004000000}" name="mask"/>
    <tableColumn id="5" xr3:uid="{00000000-0010-0000-0300-000005000000}" name="source" dataDxfId="73">
      <calculatedColumnFormula>LEFT($C$2,LEN($C$2)-1)&amp;Tabell427[[#This Row],[network-id]]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G22" dataDxfId="72">
  <tableColumns count="7">
    <tableColumn id="1" xr3:uid="{00000000-0010-0000-0400-000001000000}" name="site" dataDxfId="71">
      <calculatedColumnFormula>A2</calculatedColumnFormula>
    </tableColumn>
    <tableColumn id="2" xr3:uid="{00000000-0010-0000-0400-000002000000}" name="brukernavn" dataDxfId="70"/>
    <tableColumn id="4" xr3:uid="{00000000-0010-0000-0400-000004000000}" name="passord" dataDxfId="69"/>
    <tableColumn id="5" xr3:uid="{00000000-0010-0000-0400-000005000000}" name="vty_lines" dataDxfId="68"/>
    <tableColumn id="3" xr3:uid="{00000000-0010-0000-0400-000003000000}" name="secret" dataDxfId="67"/>
    <tableColumn id="6" xr3:uid="{00000000-0010-0000-0400-000006000000}" name="etherchan_num" dataDxfId="66"/>
    <tableColumn id="7" xr3:uid="{00000000-0010-0000-0400-000007000000}" name="span_mode" dataDxfId="65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L26" totalsRowShown="0">
  <tableColumns count="12">
    <tableColumn id="1" xr3:uid="{00000000-0010-0000-0500-000001000000}" name="SW" dataDxfId="64">
      <calculatedColumnFormula>(ROW())-(ROW()-1)</calculatedColumnFormula>
    </tableColumn>
    <tableColumn id="2" xr3:uid="{00000000-0010-0000-0500-000002000000}" name="MGMT Vlan" dataDxfId="63"/>
    <tableColumn id="3" xr3:uid="{00000000-0010-0000-0500-000003000000}" name="MGMT ip" dataDxfId="62">
      <calculatedColumnFormula>LEFT($G$5,LEN($G$5)-1)&amp;(RIGHT($G$5,1)+A25)</calculatedColumnFormula>
    </tableColumn>
    <tableColumn id="4" xr3:uid="{00000000-0010-0000-0500-000004000000}" name="gateway" dataDxfId="61">
      <calculatedColumnFormula>$E$5</calculatedColumnFormula>
    </tableColumn>
    <tableColumn id="5" xr3:uid="{00000000-0010-0000-0500-000005000000}" name="mask" dataDxfId="60">
      <calculatedColumnFormula>$F$5</calculatedColumnFormula>
    </tableColumn>
    <tableColumn id="10" xr3:uid="{00000000-0010-0000-0500-00000A000000}" name="num_ports_tot" dataDxfId="59"/>
    <tableColumn id="11" xr3:uid="{00000000-0010-0000-0500-00000B000000}" name="skiped_ports" dataDxfId="58"/>
    <tableColumn id="6" xr3:uid="{00000000-0010-0000-0500-000006000000}" name="num_downlink" dataDxfId="57"/>
    <tableColumn id="7" xr3:uid="{00000000-0010-0000-0500-000007000000}" name="vlan-antall" dataDxfId="56"/>
    <tableColumn id="8" xr3:uid="{00000000-0010-0000-0500-000008000000}" name="intf_prefix" dataDxfId="55"/>
    <tableColumn id="9" xr3:uid="{00000000-0010-0000-0500-000009000000}" name="num_port_ledig" dataDxfId="54">
      <calculatedColumnFormula>IF($A25=1,F25-G25-H25*$F$22-2-IF(OR(UPPER($G$22)="SPAN", UPPER($G$22)="ERSPAN",UPPER($G$22)="RSPAN"),1,0),F25-G25-(1+H25)*$F$22-1)</calculatedColumnFormula>
    </tableColumn>
    <tableColumn id="12" xr3:uid="{00000000-0010-0000-0500-00000C000000}" name="MONITORING ip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dataDxfId="53">
  <tableColumns count="12">
    <tableColumn id="1" xr3:uid="{00000000-0010-0000-0600-000001000000}" name="site" dataDxfId="52"/>
    <tableColumn id="2" xr3:uid="{00000000-0010-0000-0600-000002000000}" name="intf_prefix" dataDxfId="51"/>
    <tableColumn id="3" xr3:uid="{00000000-0010-0000-0600-000003000000}" name="router-id" dataDxfId="50"/>
    <tableColumn id="4" xr3:uid="{00000000-0010-0000-0600-000004000000}" name="brukernavn" dataDxfId="49"/>
    <tableColumn id="5" xr3:uid="{00000000-0010-0000-0600-000005000000}" name="passord" dataDxfId="48"/>
    <tableColumn id="6" xr3:uid="{00000000-0010-0000-0600-000006000000}" name="vty_lines" dataDxfId="47"/>
    <tableColumn id="7" xr3:uid="{00000000-0010-0000-0600-000007000000}" name="secret" dataDxfId="46"/>
    <tableColumn id="8" xr3:uid="{00000000-0010-0000-0600-000008000000}" name="tacacs_key" dataDxfId="45">
      <calculatedColumnFormula>'Site 1 (HUB)'!H2</calculatedColumnFormula>
    </tableColumn>
    <tableColumn id="9" xr3:uid="{00000000-0010-0000-0600-000009000000}" name="dns_servers" dataDxfId="44"/>
    <tableColumn id="10" xr3:uid="{00000000-0010-0000-0600-00000A000000}" name="tacacs_server_ip" dataDxfId="43">
      <calculatedColumnFormula>'Site 1 (HUB)'!K2</calculatedColumnFormula>
    </tableColumn>
    <tableColumn id="11" xr3:uid="{00000000-0010-0000-0600-00000B000000}" name="syslog_server_ip" dataDxfId="42">
      <calculatedColumnFormula>'Site 1 (HUB)'!L2</calculatedColumnFormula>
    </tableColumn>
    <tableColumn id="12" xr3:uid="{C0C3F1E4-EA14-4BE7-8B57-054084352EF9}" name="urpf_mode" dataDxfId="41">
      <calculatedColumnFormula>'Site 1 (HUB)'!M2</calculatedColumnFormula>
    </tableColumn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dataDxfId="40">
  <tableColumns count="4">
    <tableColumn id="1" xr3:uid="{00000000-0010-0000-0700-000001000000}" name="vrf" dataDxfId="39"/>
    <tableColumn id="2" xr3:uid="{00000000-0010-0000-0700-000002000000}" name="rt" dataDxfId="38"/>
    <tableColumn id="3" xr3:uid="{00000000-0010-0000-0700-000003000000}" name="loopback" dataDxfId="37"/>
    <tableColumn id="4" xr3:uid="{00000000-0010-0000-0700-000004000000}" name="laddr" dataDxfId="36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dataDxfId="35">
  <tableColumns count="10">
    <tableColumn id="1" xr3:uid="{00000000-0010-0000-0800-000001000000}" name="tunnel id" dataDxfId="34"/>
    <tableColumn id="2" xr3:uid="{00000000-0010-0000-0800-000002000000}" name="vrf" dataDxfId="33"/>
    <tableColumn id="3" xr3:uid="{00000000-0010-0000-0800-000003000000}" name="ip address" dataDxfId="32">
      <calculatedColumnFormula>172&amp;"."&amp;16&amp;"."&amp;0&amp;"."&amp;(H17+$A$2)</calculatedColumnFormula>
    </tableColumn>
    <tableColumn id="4" xr3:uid="{00000000-0010-0000-0800-000004000000}" name="mask" dataDxfId="31"/>
    <tableColumn id="5" xr3:uid="{00000000-0010-0000-0800-000005000000}" name="source" dataDxfId="30">
      <calculatedColumnFormula>LEFT($C$2,LEN($C$2)-1)&amp;Tabell427[[#This Row],[network-id]]</calculatedColumnFormula>
    </tableColumn>
    <tableColumn id="6" xr3:uid="{00000000-0010-0000-0800-000006000000}" name="destination" dataDxfId="29"/>
    <tableColumn id="7" xr3:uid="{00000000-0010-0000-0800-000007000000}" name="gre mode" dataDxfId="28"/>
    <tableColumn id="8" xr3:uid="{00000000-0010-0000-0800-000008000000}" name="network-id" dataDxfId="27"/>
    <tableColumn id="9" xr3:uid="{00000000-0010-0000-0800-000009000000}" name="ipsec" dataDxfId="26"/>
    <tableColumn id="10" xr3:uid="{00000000-0010-0000-0800-00000A000000}" name="ipsec key" dataDxfId="25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G22" dataDxfId="24">
  <tableColumns count="7">
    <tableColumn id="1" xr3:uid="{00000000-0010-0000-0900-000001000000}" name="site" dataDxfId="23">
      <calculatedColumnFormula>A2</calculatedColumnFormula>
    </tableColumn>
    <tableColumn id="4" xr3:uid="{00000000-0010-0000-0900-000004000000}" name="brukernavn" dataDxfId="22"/>
    <tableColumn id="5" xr3:uid="{00000000-0010-0000-0900-000005000000}" name="passord" dataDxfId="21"/>
    <tableColumn id="3" xr3:uid="{00000000-0010-0000-0900-000003000000}" name="vty_lines" dataDxfId="20"/>
    <tableColumn id="2" xr3:uid="{00000000-0010-0000-0900-000002000000}" name="secret" dataDxfId="19"/>
    <tableColumn id="6" xr3:uid="{00000000-0010-0000-0900-000006000000}" name="etherchan_num" dataDxfId="18"/>
    <tableColumn id="7" xr3:uid="{00000000-0010-0000-0900-000007000000}" name="span_mode" dataDxfId="17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4:L25" totalsRowShown="0">
  <tableColumns count="12">
    <tableColumn id="1" xr3:uid="{00000000-0010-0000-0B00-000001000000}" name="SW" dataDxfId="16">
      <calculatedColumnFormula>(ROW())-(ROW()-1)</calculatedColumnFormula>
    </tableColumn>
    <tableColumn id="2" xr3:uid="{00000000-0010-0000-0B00-000002000000}" name="MGMT Vlan" dataDxfId="15"/>
    <tableColumn id="3" xr3:uid="{00000000-0010-0000-0B00-000003000000}" name="MGMT ip" dataDxfId="14">
      <calculatedColumnFormula>LEFT($G$5,LEN($G$5)-1)&amp;(RIGHT($G$5,1)+A25)</calculatedColumnFormula>
    </tableColumn>
    <tableColumn id="4" xr3:uid="{00000000-0010-0000-0B00-000004000000}" name="gateway" dataDxfId="13">
      <calculatedColumnFormula>$E$5</calculatedColumnFormula>
    </tableColumn>
    <tableColumn id="5" xr3:uid="{00000000-0010-0000-0B00-000005000000}" name="mask" dataDxfId="12">
      <calculatedColumnFormula>$F$5</calculatedColumnFormula>
    </tableColumn>
    <tableColumn id="10" xr3:uid="{00000000-0010-0000-0B00-00000A000000}" name="num_ports_tot" dataDxfId="11"/>
    <tableColumn id="11" xr3:uid="{00000000-0010-0000-0B00-00000B000000}" name="skiped_ports" dataDxfId="10"/>
    <tableColumn id="6" xr3:uid="{00000000-0010-0000-0B00-000006000000}" name="num_downlink" dataDxfId="9"/>
    <tableColumn id="7" xr3:uid="{00000000-0010-0000-0B00-000007000000}" name="vlan-antall" dataDxfId="8"/>
    <tableColumn id="8" xr3:uid="{00000000-0010-0000-0B00-000008000000}" name="intf_prefix" dataDxfId="7"/>
    <tableColumn id="9" xr3:uid="{00000000-0010-0000-0B00-000009000000}" name="num_port_ledig" dataDxfId="6">
      <calculatedColumnFormula>IF($A25=1,F25-G25-H25*$F$22-2-IF(OR(UPPER($G$22)="SPAN",UPPER($G$22)="RSPAN"),1,0),F25-G25-(1+H25)*$F$22-1)</calculatedColumnFormula>
    </tableColumn>
    <tableColumn id="12" xr3:uid="{00000000-0010-0000-0B00-00000C000000}" name="MONITORING ip">
      <calculatedColumnFormula>10&amp;"."&amp;(50+$A$2)&amp;"."&amp;0&amp;"."&amp;(A25+1)</calculatedColumnFormula>
    </tableColumn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5A02AD-2CA6-4912-AA9B-3C6CC47A8FA5}" name="Tabell62" displayName="Tabell62" ref="A4:K8">
  <tableColumns count="11">
    <tableColumn id="1" xr3:uid="{47B3C139-1692-4650-99C8-309AED464DC1}" name="vrf"/>
    <tableColumn id="2" xr3:uid="{D62DD834-E0BB-4909-89A0-12F620F06BC8}" name="vlan"/>
    <tableColumn id="3" xr3:uid="{345E6AA5-B02C-4C04-BAC7-4DC8E61BBD06}" name="interface"/>
    <tableColumn id="4" xr3:uid="{24F3CFC8-48FF-467B-A0AD-4AA8452B8BE1}" name="nett id" dataDxfId="3">
      <calculatedColumnFormula>10&amp;"."&amp;($A$2)&amp;"."&amp;$B5&amp;"."&amp;0</calculatedColumnFormula>
    </tableColumn>
    <tableColumn id="5" xr3:uid="{7491CD15-10DB-4123-92F7-6CEB0CF5B9A8}" name="gateway">
      <calculatedColumnFormula>LEFT(D5,LEN(D5)-1)&amp;"1"</calculatedColumnFormula>
    </tableColumn>
    <tableColumn id="6" xr3:uid="{22BAF84C-332E-43D7-ABD2-6170B30E36FA}" name="mask"/>
    <tableColumn id="7" xr3:uid="{0F964A11-FF57-46EC-961F-CDB26E5E1483}" name="address min">
      <calculatedColumnFormula array="1">_xlfn.LET(
_xlpm.net,SUM(--_xlfn.TEXTSPLIT(Tabell62[[#This Row],[nett id]],".")*{16777216,65536,256,1}),
_xlpm.addr,_xlpm.net+1,
_xlfn.TEXTJOIN(".",TRUE,MOD(QUOTIENT(_xlpm.addr,{16777216,65536,256,1}),256))
)</calculatedColumnFormula>
    </tableColumn>
    <tableColumn id="8" xr3:uid="{391A005D-CAFC-426C-A5F3-725914B53829}" name="address max">
      <calculatedColumnFormula array="1">_xlfn.LET(
_xlpm.net,SUM(--_xlfn.TEXTSPLIT(Tabell62[[#This Row],[nett id]],".")*{16777216,65536,256,1}),
_xlpm.mask,SUM(--_xlfn.TEXTSPLIT(Tabell62[[#This Row],[mask]],".")*{16777216,65536,256,1}),
_xlpm.addr,_xlpm.net+(4294967295-_xlpm.mask)-1,
_xlfn.TEXTJOIN(".",TRUE,MOD(QUOTIENT(_xlpm.addr,{16777216,65536,256,1}),256))
)</calculatedColumnFormula>
    </tableColumn>
    <tableColumn id="9" xr3:uid="{9EC1882B-AF0A-44F1-BD9A-8A894B349CA3}" name="antall-res" dataDxfId="2"/>
    <tableColumn id="10" xr3:uid="{61EDD6C0-0C78-4240-AF0C-CB240D30092C}" name="pri-afxx"/>
    <tableColumn id="11" xr3:uid="{B63F8595-9D02-4C92-9525-FDF21F956CD6}" name="pri-1-10"/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C000000}" name="Tabell125" displayName="Tabell125" ref="A1:L2" dataDxfId="130">
  <tableColumns count="12">
    <tableColumn id="1" xr3:uid="{00000000-0010-0000-0C00-000001000000}" name="site" dataDxfId="129"/>
    <tableColumn id="2" xr3:uid="{00000000-0010-0000-0C00-000002000000}" name="intf_prefix" dataDxfId="128"/>
    <tableColumn id="3" xr3:uid="{00000000-0010-0000-0C00-000003000000}" name="router-id" dataDxfId="127">
      <calculatedColumnFormula>A2&amp;"."&amp;A2&amp;"."&amp;A2&amp;".0"</calculatedColumnFormula>
    </tableColumn>
    <tableColumn id="4" xr3:uid="{00000000-0010-0000-0C00-000004000000}" name="brukernavn" dataDxfId="126"/>
    <tableColumn id="5" xr3:uid="{00000000-0010-0000-0C00-000005000000}" name="passord" dataDxfId="125"/>
    <tableColumn id="6" xr3:uid="{00000000-0010-0000-0C00-000006000000}" name="vty_lines" dataDxfId="124"/>
    <tableColumn id="7" xr3:uid="{00000000-0010-0000-0C00-000007000000}" name="secret" dataDxfId="123"/>
    <tableColumn id="8" xr3:uid="{00000000-0010-0000-0C00-000008000000}" name="tacacs_key" dataDxfId="122">
      <calculatedColumnFormula>'Site 1 (HUB)'!H2</calculatedColumnFormula>
    </tableColumn>
    <tableColumn id="9" xr3:uid="{00000000-0010-0000-0C00-000009000000}" name="dns_servers" dataDxfId="121"/>
    <tableColumn id="10" xr3:uid="{00000000-0010-0000-0C00-00000A000000}" name="tacacs_server_ip" dataDxfId="120">
      <calculatedColumnFormula>'Site 1 (HUB)'!K2</calculatedColumnFormula>
    </tableColumn>
    <tableColumn id="11" xr3:uid="{00000000-0010-0000-0C00-00000B000000}" name="syslog_server_ip" dataDxfId="119">
      <calculatedColumnFormula>'Site 1 (HUB)'!L2</calculatedColumnFormula>
    </tableColumn>
    <tableColumn id="12" xr3:uid="{8F454925-3BC4-4EBB-8D3D-A7176AFC9BBB}" name="urpf_mode" dataDxfId="118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D000000}" name="Tabell326" displayName="Tabell326" ref="A10:D14" dataDxfId="117">
  <tableColumns count="4">
    <tableColumn id="1" xr3:uid="{00000000-0010-0000-0D00-000001000000}" name="vrf" dataDxfId="116"/>
    <tableColumn id="2" xr3:uid="{00000000-0010-0000-0D00-000002000000}" name="rt" dataDxfId="115"/>
    <tableColumn id="3" xr3:uid="{00000000-0010-0000-0D00-000003000000}" name="loopback" dataDxfId="114"/>
    <tableColumn id="4" xr3:uid="{00000000-0010-0000-0D00-000004000000}" name="laddr" dataDxfId="113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E000000}" name="Tabell427" displayName="Tabell427" ref="A16:J19" dataDxfId="112">
  <tableColumns count="10">
    <tableColumn id="1" xr3:uid="{00000000-0010-0000-0E00-000001000000}" name="tunnel id" dataDxfId="111"/>
    <tableColumn id="2" xr3:uid="{00000000-0010-0000-0E00-000002000000}" name="vrf" dataDxfId="110"/>
    <tableColumn id="3" xr3:uid="{00000000-0010-0000-0E00-000003000000}" name="ip address" dataDxfId="109">
      <calculatedColumnFormula>172&amp;"."&amp;16&amp;"."&amp;0&amp;"."&amp;(H17+$A$2)</calculatedColumnFormula>
    </tableColumn>
    <tableColumn id="4" xr3:uid="{00000000-0010-0000-0E00-000004000000}" name="mask" dataDxfId="108"/>
    <tableColumn id="5" xr3:uid="{00000000-0010-0000-0E00-000005000000}" name="source" dataDxfId="107">
      <calculatedColumnFormula>LEFT($C$2,LEN($C$2)-1)&amp;Tabell427[[#This Row],[network-id]]</calculatedColumnFormula>
    </tableColumn>
    <tableColumn id="6" xr3:uid="{00000000-0010-0000-0E00-000006000000}" name="destination" dataDxfId="106"/>
    <tableColumn id="7" xr3:uid="{00000000-0010-0000-0E00-000007000000}" name="gre mode" dataDxfId="105"/>
    <tableColumn id="8" xr3:uid="{00000000-0010-0000-0E00-000008000000}" name="network-id" dataDxfId="104"/>
    <tableColumn id="9" xr3:uid="{00000000-0010-0000-0E00-000009000000}" name="ipsec" dataDxfId="103"/>
    <tableColumn id="10" xr3:uid="{00000000-0010-0000-0E00-00000A000000}" name="ipsec key" dataDxfId="102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F000000}" name="Tabell1319253028" displayName="Tabell1319253028" ref="A21:G22" dataDxfId="101">
  <tableColumns count="7">
    <tableColumn id="1" xr3:uid="{00000000-0010-0000-0F00-000001000000}" name="site" dataDxfId="100">
      <calculatedColumnFormula>A2</calculatedColumnFormula>
    </tableColumn>
    <tableColumn id="4" xr3:uid="{00000000-0010-0000-0F00-000004000000}" name="brukernavn" dataDxfId="99"/>
    <tableColumn id="5" xr3:uid="{00000000-0010-0000-0F00-000005000000}" name="passord" dataDxfId="98"/>
    <tableColumn id="3" xr3:uid="{00000000-0010-0000-0F00-000003000000}" name="vty_lines" dataDxfId="97"/>
    <tableColumn id="2" xr3:uid="{00000000-0010-0000-0F00-000002000000}" name="secret" dataDxfId="96"/>
    <tableColumn id="6" xr3:uid="{00000000-0010-0000-0F00-000006000000}" name="etherchan_num" dataDxfId="95"/>
    <tableColumn id="7" xr3:uid="{00000000-0010-0000-0F00-000007000000}" name="span_mode" dataDxfId="94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1000000}" name="Tabell16182428253233" displayName="Tabell16182428253233" ref="A24:L25" totalsRowShown="0">
  <tableColumns count="12">
    <tableColumn id="1" xr3:uid="{00000000-0010-0000-1100-000001000000}" name="SW" dataDxfId="93">
      <calculatedColumnFormula>(ROW())-(ROW()-1)</calculatedColumnFormula>
    </tableColumn>
    <tableColumn id="2" xr3:uid="{00000000-0010-0000-1100-000002000000}" name="MGMT Vlan" dataDxfId="92"/>
    <tableColumn id="3" xr3:uid="{00000000-0010-0000-1100-000003000000}" name="MGMT ip" dataDxfId="91">
      <calculatedColumnFormula>LEFT($G$5,LEN($G$5)-1)&amp;(RIGHT($G$5,1)+A25)</calculatedColumnFormula>
    </tableColumn>
    <tableColumn id="4" xr3:uid="{00000000-0010-0000-1100-000004000000}" name="gateway" dataDxfId="90">
      <calculatedColumnFormula>$E$5</calculatedColumnFormula>
    </tableColumn>
    <tableColumn id="5" xr3:uid="{00000000-0010-0000-1100-000005000000}" name="mask" dataDxfId="89">
      <calculatedColumnFormula>$F$5</calculatedColumnFormula>
    </tableColumn>
    <tableColumn id="10" xr3:uid="{00000000-0010-0000-1100-00000A000000}" name="num_ports_tot" dataDxfId="88"/>
    <tableColumn id="11" xr3:uid="{00000000-0010-0000-1100-00000B000000}" name="skiped_ports" dataDxfId="87"/>
    <tableColumn id="6" xr3:uid="{00000000-0010-0000-1100-000006000000}" name="num_downlink" dataDxfId="86"/>
    <tableColumn id="7" xr3:uid="{00000000-0010-0000-1100-000007000000}" name="vlan-antall" dataDxfId="85"/>
    <tableColumn id="8" xr3:uid="{00000000-0010-0000-1100-000008000000}" name="intf_prefix" dataDxfId="84"/>
    <tableColumn id="9" xr3:uid="{00000000-0010-0000-1100-000009000000}" name="num_port_ledig" dataDxfId="83">
      <calculatedColumnFormula>IF($A25=1,F25-G25-H25*$F$22-2-IF(OR($G$22="ERSPAN",$G$22="SPAN",$G$22="RSPAN"),1,0),F25-G25-(1+H25)*$F$22-1)</calculatedColumnFormula>
    </tableColumn>
    <tableColumn id="12" xr3:uid="{00000000-0010-0000-1100-00000C000000}" name="MONITORING ip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6FFD175-B94A-4F33-8F16-6557AA1812D1}" name="Tabell628" displayName="Tabell628" ref="A4:K8">
  <tableColumns count="11">
    <tableColumn id="1" xr3:uid="{56D4B413-3CC2-4741-8FB2-EB562529AEFD}" name="vrf"/>
    <tableColumn id="2" xr3:uid="{2563D53E-B705-4025-8974-EB012818C3A1}" name="vlan"/>
    <tableColumn id="3" xr3:uid="{DDFF1A20-AA13-40E0-81C7-C23FF1C01637}" name="interface"/>
    <tableColumn id="4" xr3:uid="{0FD0195F-E29B-4997-B5EF-665D39C2D2F7}" name="nett id" dataDxfId="1">
      <calculatedColumnFormula>10&amp;"."&amp;($A$2)&amp;"."&amp;$B5&amp;"."&amp;0</calculatedColumnFormula>
    </tableColumn>
    <tableColumn id="5" xr3:uid="{10FC9A73-5C94-4AE7-8C2C-D8539C3A5C31}" name="gateway">
      <calculatedColumnFormula>LEFT(D5,LEN(D5)-1)&amp;"1"</calculatedColumnFormula>
    </tableColumn>
    <tableColumn id="6" xr3:uid="{D21B1B63-EA2B-4FF7-A5B7-8EA2875C5141}" name="mask"/>
    <tableColumn id="7" xr3:uid="{8C3295FB-EB91-4A27-9F82-8A84EFFD5BF3}" name="address min">
      <calculatedColumnFormula array="1">_xlfn.LET(
_xlpm.net,SUM(--_xlfn.TEXTSPLIT(Tabell628[[#This Row],[nett id]],".")*{16777216,65536,256,1}),
_xlpm.addr,_xlpm.net+1,
_xlfn.TEXTJOIN(".",TRUE,MOD(QUOTIENT(_xlpm.addr,{16777216,65536,256,1}),256))
)</calculatedColumnFormula>
    </tableColumn>
    <tableColumn id="8" xr3:uid="{2F92A364-3126-4657-9B3E-F6399F54C980}" name="address max">
      <calculatedColumnFormula array="1">_xlfn.LET(
_xlpm.net,SUM(--_xlfn.TEXTSPLIT(Tabell628[[#This Row],[nett id]],".")*{16777216,65536,256,1}),
_xlpm.mask,SUM(--_xlfn.TEXTSPLIT(Tabell628[[#This Row],[mask]],".")*{16777216,65536,256,1}),
_xlpm.addr,_xlpm.net+(4294967295-_xlpm.mask)-1,
_xlfn.TEXTJOIN(".",TRUE,MOD(QUOTIENT(_xlpm.addr,{16777216,65536,256,1}),256))
)</calculatedColumnFormula>
    </tableColumn>
    <tableColumn id="9" xr3:uid="{F1862C6A-FC54-4E31-BF6B-5DAFB122444E}" name="antall-res" dataDxfId="0"/>
    <tableColumn id="10" xr3:uid="{90961B88-7A7F-4994-8927-A856A56857A2}" name="pri-afxx"/>
    <tableColumn id="11" xr3:uid="{7178CB93-6875-42D2-A7A7-EBE1AB7EEDAB}" name="pri-1-10"/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12000000}" name="FlowPolicyTable" displayName="FlowPolicyTable" ref="A1:E13" totalsRowShown="0">
  <tableColumns count="5">
    <tableColumn id="1" xr3:uid="{00000000-0010-0000-1200-000001000000}" name="source"/>
    <tableColumn id="2" xr3:uid="{00000000-0010-0000-1200-000002000000}" name="destination"/>
    <tableColumn id="3" xr3:uid="{00000000-0010-0000-1200-000003000000}" name="protocol"/>
    <tableColumn id="4" xr3:uid="{00000000-0010-0000-1200-000004000000}" name="destination_port"/>
    <tableColumn id="5" xr3:uid="{00000000-0010-0000-12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tabSelected="1" workbookViewId="0">
      <selection activeCell="L21" sqref="L21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customWidth="1"/>
    <col min="4" max="4" width="14.28515625" bestFit="1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2" width="18" customWidth="1"/>
    <col min="13" max="13" width="14" customWidth="1"/>
  </cols>
  <sheetData>
    <row r="1" spans="1:13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30" t="s">
        <v>10</v>
      </c>
      <c r="L1" s="30" t="s">
        <v>11</v>
      </c>
      <c r="M1" s="31" t="s">
        <v>67</v>
      </c>
    </row>
    <row r="2" spans="1:13" ht="15.75" customHeight="1" x14ac:dyDescent="0.2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2" t="s">
        <v>17</v>
      </c>
      <c r="K2" s="18" t="s">
        <v>18</v>
      </c>
      <c r="L2" s="18" t="s">
        <v>18</v>
      </c>
      <c r="M2" s="18" t="s">
        <v>68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3" ht="15.7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32" t="s">
        <v>28</v>
      </c>
      <c r="K4" s="32" t="s">
        <v>29</v>
      </c>
    </row>
    <row r="5" spans="1:13" ht="15.75" customHeight="1" x14ac:dyDescent="0.2">
      <c r="A5" s="7" t="s">
        <v>30</v>
      </c>
      <c r="B5" s="8">
        <v>10</v>
      </c>
      <c r="C5" s="7">
        <v>0</v>
      </c>
      <c r="D5" s="7" t="str">
        <f t="shared" ref="D5:D8" si="0">10&amp;"."&amp;($A$2)&amp;"."&amp;$B5&amp;"."&amp;0</f>
        <v>10.1.10.0</v>
      </c>
      <c r="E5" s="7" t="str">
        <f>LEFT(D5,LEN(D5)-1)&amp;"1"</f>
        <v>10.1.10.1</v>
      </c>
      <c r="F5" s="7" t="s">
        <v>50</v>
      </c>
      <c r="G5" s="7" t="str" cm="1">
        <f t="array" ref="G5">_xlfn.LET(
_xlpm.net,SUM(--_xlfn.TEXTSPLIT(Tabell6[[#This Row],[nett id]],".")*{16777216,65536,256,1}),
_xlpm.addr,_xlpm.net+1,
_xlfn.TEXTJOIN(".",TRUE,MOD(QUOTIENT(_xlpm.addr,{16777216,65536,256,1}),256))
)</f>
        <v>10.1.10.1</v>
      </c>
      <c r="H5" s="7" t="str" cm="1">
        <f t="array" ref="H5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10.1.10.254</v>
      </c>
      <c r="I5" s="7">
        <v>40</v>
      </c>
      <c r="J5" s="9">
        <v>21</v>
      </c>
      <c r="K5" s="9">
        <v>5</v>
      </c>
    </row>
    <row r="6" spans="1:13" ht="15.75" customHeight="1" x14ac:dyDescent="0.2">
      <c r="A6" s="7" t="s">
        <v>31</v>
      </c>
      <c r="B6" s="8">
        <v>20</v>
      </c>
      <c r="C6" s="7">
        <v>0</v>
      </c>
      <c r="D6" s="7" t="str">
        <f t="shared" si="0"/>
        <v>10.1.20.0</v>
      </c>
      <c r="E6" s="7" t="str">
        <f t="shared" ref="E5:E7" si="1">LEFT(D6,LEN(D6)-1)&amp;"1"</f>
        <v>10.1.20.1</v>
      </c>
      <c r="F6" s="7" t="s">
        <v>50</v>
      </c>
      <c r="G6" s="7" t="str" cm="1">
        <f t="array" ref="G6">_xlfn.LET(
_xlpm.net,SUM(--_xlfn.TEXTSPLIT(Tabell6[[#This Row],[nett id]],".")*{16777216,65536,256,1}),
_xlpm.addr,_xlpm.net+1,
_xlfn.TEXTJOIN(".",TRUE,MOD(QUOTIENT(_xlpm.addr,{16777216,65536,256,1}),256))
)</f>
        <v>10.1.20.1</v>
      </c>
      <c r="H6" s="7" t="str" cm="1">
        <f t="array" ref="H6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10.1.20.254</v>
      </c>
      <c r="I6" s="7">
        <v>40</v>
      </c>
      <c r="J6" s="9">
        <v>11</v>
      </c>
      <c r="K6" s="9">
        <v>2</v>
      </c>
    </row>
    <row r="7" spans="1:13" ht="15.75" customHeight="1" x14ac:dyDescent="0.2">
      <c r="A7" s="7" t="s">
        <v>32</v>
      </c>
      <c r="B7" s="8">
        <v>30</v>
      </c>
      <c r="C7" s="7">
        <v>0</v>
      </c>
      <c r="D7" s="7" t="str">
        <f t="shared" si="0"/>
        <v>10.1.30.0</v>
      </c>
      <c r="E7" s="7" t="str">
        <f t="shared" si="1"/>
        <v>10.1.30.1</v>
      </c>
      <c r="F7" s="7" t="s">
        <v>50</v>
      </c>
      <c r="G7" s="7" t="str" cm="1">
        <f t="array" ref="G7">_xlfn.LET(
_xlpm.net,SUM(--_xlfn.TEXTSPLIT(Tabell6[[#This Row],[nett id]],".")*{16777216,65536,256,1}),
_xlpm.addr,_xlpm.net+1,
_xlfn.TEXTJOIN(".",TRUE,MOD(QUOTIENT(_xlpm.addr,{16777216,65536,256,1}),256))
)</f>
        <v>10.1.30.1</v>
      </c>
      <c r="H7" s="7" t="str" cm="1">
        <f t="array" ref="H7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10.1.30.254</v>
      </c>
      <c r="I7" s="7">
        <v>40</v>
      </c>
      <c r="J7">
        <v>42</v>
      </c>
      <c r="K7">
        <v>7</v>
      </c>
    </row>
    <row r="8" spans="1:13" ht="15.75" customHeight="1" x14ac:dyDescent="0.2">
      <c r="A8" s="7" t="s">
        <v>33</v>
      </c>
      <c r="B8" s="8">
        <v>40</v>
      </c>
      <c r="C8" s="7">
        <v>0</v>
      </c>
      <c r="D8" s="7" t="str">
        <f t="shared" si="0"/>
        <v>10.1.40.0</v>
      </c>
      <c r="E8" s="7" t="str">
        <f t="shared" ref="E8" si="2">LEFT(D8,LEN(D8)-1)&amp;"1"</f>
        <v>10.1.40.1</v>
      </c>
      <c r="F8" s="7" t="s">
        <v>50</v>
      </c>
      <c r="G8" s="7" t="str" cm="1">
        <f t="array" ref="G8">_xlfn.LET(
_xlpm.net,SUM(--_xlfn.TEXTSPLIT(Tabell6[[#This Row],[nett id]],".")*{16777216,65536,256,1}),
_xlpm.addr,_xlpm.net+1,
_xlfn.TEXTJOIN(".",TRUE,MOD(QUOTIENT(_xlpm.addr,{16777216,65536,256,1}),256))
)</f>
        <v>10.1.40.1</v>
      </c>
      <c r="H8" s="7" t="str" cm="1">
        <f t="array" ref="H8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10.1.40.254</v>
      </c>
      <c r="I8" s="7">
        <v>40</v>
      </c>
      <c r="J8">
        <v>41</v>
      </c>
      <c r="K8">
        <v>10</v>
      </c>
    </row>
    <row r="9" spans="1:13" ht="15.75" customHeight="1" x14ac:dyDescent="0.2">
      <c r="A9" s="3"/>
      <c r="B9" s="3"/>
    </row>
    <row r="10" spans="1:13" ht="15.75" customHeight="1" x14ac:dyDescent="0.2">
      <c r="A10" s="6" t="s">
        <v>19</v>
      </c>
      <c r="B10" s="6" t="s">
        <v>34</v>
      </c>
      <c r="C10" s="6" t="s">
        <v>35</v>
      </c>
      <c r="D10" s="6" t="s">
        <v>36</v>
      </c>
    </row>
    <row r="11" spans="1:13" ht="15.75" customHeight="1" x14ac:dyDescent="0.2">
      <c r="A11" s="7" t="s">
        <v>30</v>
      </c>
      <c r="B11" s="17" t="s">
        <v>37</v>
      </c>
      <c r="C11" s="7">
        <v>10</v>
      </c>
      <c r="D11" s="7" t="str">
        <f>$A$2&amp;"."&amp;$A$2&amp;"."&amp;$A$2&amp;"."&amp;(C11)</f>
        <v>1.1.1.10</v>
      </c>
    </row>
    <row r="12" spans="1:13" ht="15.75" customHeight="1" x14ac:dyDescent="0.2">
      <c r="A12" s="7" t="s">
        <v>31</v>
      </c>
      <c r="B12" s="17" t="s">
        <v>38</v>
      </c>
      <c r="C12" s="7">
        <v>20</v>
      </c>
      <c r="D12" s="7" t="str">
        <f t="shared" ref="D12:D14" si="3">$A$2&amp;"."&amp;$A$2&amp;"."&amp;$A$2&amp;"."&amp;(C12)</f>
        <v>1.1.1.20</v>
      </c>
    </row>
    <row r="13" spans="1:13" ht="15.75" customHeight="1" x14ac:dyDescent="0.2">
      <c r="A13" s="7" t="s">
        <v>32</v>
      </c>
      <c r="B13" s="17" t="s">
        <v>39</v>
      </c>
      <c r="C13" s="7">
        <v>30</v>
      </c>
      <c r="D13" s="7" t="str">
        <f t="shared" si="3"/>
        <v>1.1.1.30</v>
      </c>
    </row>
    <row r="14" spans="1:13" ht="15.75" customHeight="1" x14ac:dyDescent="0.2">
      <c r="A14" s="7" t="s">
        <v>33</v>
      </c>
      <c r="B14" s="17" t="s">
        <v>40</v>
      </c>
      <c r="C14" s="7">
        <v>40</v>
      </c>
      <c r="D14" s="7" t="str">
        <f t="shared" si="3"/>
        <v>1.1.1.40</v>
      </c>
    </row>
    <row r="15" spans="1:13" ht="15.75" customHeight="1" x14ac:dyDescent="0.2"/>
    <row r="16" spans="1:13" ht="15.75" customHeight="1" x14ac:dyDescent="0.2">
      <c r="A16" s="6" t="s">
        <v>41</v>
      </c>
      <c r="B16" s="6" t="s">
        <v>19</v>
      </c>
      <c r="C16" s="6" t="s">
        <v>42</v>
      </c>
      <c r="D16" s="6" t="s">
        <v>24</v>
      </c>
      <c r="E16" s="6" t="s">
        <v>43</v>
      </c>
      <c r="F16" s="6" t="s">
        <v>44</v>
      </c>
      <c r="G16" s="6" t="s">
        <v>45</v>
      </c>
      <c r="H16" s="1" t="s">
        <v>46</v>
      </c>
      <c r="I16" s="1" t="s">
        <v>47</v>
      </c>
      <c r="J16" s="1" t="s">
        <v>48</v>
      </c>
    </row>
    <row r="17" spans="1:12" ht="15.75" customHeight="1" x14ac:dyDescent="0.2">
      <c r="A17" s="7" t="s">
        <v>49</v>
      </c>
      <c r="B17" s="7" t="s">
        <v>30</v>
      </c>
      <c r="C17" s="7" t="str">
        <f t="shared" ref="C17:C19" si="4">172&amp;"."&amp;16&amp;"."&amp;$H17&amp;"."&amp;($A$2)</f>
        <v>172.16.10.1</v>
      </c>
      <c r="D17" s="7" t="s">
        <v>50</v>
      </c>
      <c r="E17" s="13"/>
      <c r="F17" s="7"/>
      <c r="G17" s="7" t="s">
        <v>51</v>
      </c>
      <c r="H17" s="2">
        <v>10</v>
      </c>
      <c r="I17" s="2"/>
      <c r="J17" s="2"/>
    </row>
    <row r="18" spans="1:12" ht="15.75" customHeight="1" x14ac:dyDescent="0.2">
      <c r="A18" s="7" t="s">
        <v>52</v>
      </c>
      <c r="B18" s="7" t="s">
        <v>32</v>
      </c>
      <c r="C18" s="7" t="str">
        <f t="shared" si="4"/>
        <v>172.16.30.1</v>
      </c>
      <c r="D18" s="7" t="s">
        <v>50</v>
      </c>
      <c r="E18" s="13"/>
      <c r="F18" s="7"/>
      <c r="G18" s="7" t="s">
        <v>51</v>
      </c>
      <c r="H18" s="2">
        <v>30</v>
      </c>
      <c r="I18" s="2" t="b">
        <v>1</v>
      </c>
      <c r="J18" s="2"/>
    </row>
    <row r="19" spans="1:12" ht="15.75" customHeight="1" x14ac:dyDescent="0.2">
      <c r="A19" s="7" t="s">
        <v>53</v>
      </c>
      <c r="B19" s="7" t="s">
        <v>33</v>
      </c>
      <c r="C19" s="7" t="str">
        <f t="shared" si="4"/>
        <v>172.16.40.1</v>
      </c>
      <c r="D19" s="7" t="s">
        <v>50</v>
      </c>
      <c r="E19" s="13"/>
      <c r="F19" s="7"/>
      <c r="G19" s="7" t="s">
        <v>51</v>
      </c>
      <c r="H19" s="2">
        <v>40</v>
      </c>
      <c r="I19" s="2" t="b">
        <v>1</v>
      </c>
      <c r="J19" s="2"/>
    </row>
    <row r="20" spans="1:12" ht="15.75" customHeight="1" x14ac:dyDescent="0.2">
      <c r="A20" s="11"/>
      <c r="B20" s="11"/>
      <c r="C20" s="11"/>
      <c r="D20" s="11"/>
      <c r="E20" s="11"/>
      <c r="F20" s="11"/>
      <c r="G20" s="11"/>
    </row>
    <row r="21" spans="1:12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54</v>
      </c>
      <c r="G21" s="1" t="s">
        <v>55</v>
      </c>
    </row>
    <row r="22" spans="1:12" ht="28.7" customHeight="1" x14ac:dyDescent="0.2">
      <c r="A22" s="2">
        <f>A2</f>
        <v>1</v>
      </c>
      <c r="B22" s="2" t="s">
        <v>13</v>
      </c>
      <c r="C22" s="2" t="s">
        <v>14</v>
      </c>
      <c r="D22" s="2" t="s">
        <v>15</v>
      </c>
      <c r="E22" s="2" t="s">
        <v>14</v>
      </c>
      <c r="F22" s="2">
        <v>2</v>
      </c>
      <c r="G22" s="2" t="s">
        <v>56</v>
      </c>
      <c r="H22" s="18"/>
    </row>
    <row r="23" spans="1:12" ht="15.75" customHeight="1" x14ac:dyDescent="0.2"/>
    <row r="24" spans="1:12" ht="39" customHeight="1" x14ac:dyDescent="0.2">
      <c r="A24" s="14" t="s">
        <v>57</v>
      </c>
      <c r="B24" s="14" t="s">
        <v>58</v>
      </c>
      <c r="C24" s="14" t="s">
        <v>59</v>
      </c>
      <c r="D24" s="14" t="s">
        <v>23</v>
      </c>
      <c r="E24" s="14" t="s">
        <v>24</v>
      </c>
      <c r="F24" s="14" t="s">
        <v>60</v>
      </c>
      <c r="G24" s="14" t="s">
        <v>61</v>
      </c>
      <c r="H24" s="14" t="s">
        <v>62</v>
      </c>
      <c r="I24" s="14" t="s">
        <v>63</v>
      </c>
      <c r="J24" s="14" t="s">
        <v>1</v>
      </c>
      <c r="K24" s="14" t="s">
        <v>64</v>
      </c>
      <c r="L24" s="33" t="s">
        <v>65</v>
      </c>
    </row>
    <row r="25" spans="1:12" ht="45" customHeight="1" x14ac:dyDescent="0.2">
      <c r="A25" s="7">
        <f>(ROW())-(ROW()-1)</f>
        <v>1</v>
      </c>
      <c r="B25" s="7">
        <v>10</v>
      </c>
      <c r="C25" s="7" t="str">
        <f>LEFT($G$5,LEN($G$5)-1)&amp;(RIGHT($G$5,1)+A25)</f>
        <v>10.1.10.2</v>
      </c>
      <c r="D25" s="7" t="str">
        <f>$E$5</f>
        <v>10.1.10.1</v>
      </c>
      <c r="E25" s="7" t="str">
        <f>$F$5</f>
        <v>255.255.255.0</v>
      </c>
      <c r="F25" s="7">
        <v>24</v>
      </c>
      <c r="G25" s="7">
        <v>1</v>
      </c>
      <c r="H25" s="10">
        <v>3</v>
      </c>
      <c r="I25" s="7" t="s">
        <v>66</v>
      </c>
      <c r="J25" s="2" t="s">
        <v>12</v>
      </c>
      <c r="K25" s="2">
        <f>IF($A25=1,F25-G25-H25*$F$22-2-IF($K$2&lt;&gt;$L$2,1,0)-IF(OR(UPPER($G$22)="SPAN",UPPER($G$22)="ERSPAN",UPPER($G$22)="RSPAN"),1,0),F25-G25-(1+H25)*$F$22-1)</f>
        <v>14</v>
      </c>
    </row>
    <row r="26" spans="1:12" ht="15.75" customHeight="1" x14ac:dyDescent="0.2">
      <c r="A26" s="16">
        <v>2</v>
      </c>
      <c r="B26" s="16">
        <v>10</v>
      </c>
      <c r="C26" s="16" t="str">
        <f>LEFT($G$5,LEN($G$5)-1)&amp;(RIGHT($G$5,1)+A26)</f>
        <v>10.1.10.3</v>
      </c>
      <c r="D26" s="16" t="str">
        <f>$E$5</f>
        <v>10.1.10.1</v>
      </c>
      <c r="E26" s="16" t="str">
        <f>$F$5</f>
        <v>255.255.255.0</v>
      </c>
      <c r="F26" s="16">
        <v>24</v>
      </c>
      <c r="G26" s="16">
        <v>1</v>
      </c>
      <c r="H26" s="16">
        <v>0</v>
      </c>
      <c r="I26" s="15" t="s">
        <v>66</v>
      </c>
      <c r="J26" s="12" t="s">
        <v>12</v>
      </c>
      <c r="K26" s="2">
        <f>IF($A26=1,F26-G26-H26*$F$22-2-IF($K$2&lt;&gt;$L$2,1,0)-IF(OR(UPPER($G$22)="SPAN",UPPER($G$22)="ERSPAN",UPPER($G$22)="RSPAN"),1,0),F26-G26-(1+H26)*$F$22-1)</f>
        <v>20</v>
      </c>
    </row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3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  <dataValidation type="list" sqref="G22" xr:uid="{00000000-0002-0000-0000-000001000000}">
      <formula1>"SPAN,RSPAN,ERSPAN"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4"/>
  <sheetViews>
    <sheetView workbookViewId="0">
      <selection activeCell="J4" sqref="J4:K4"/>
    </sheetView>
  </sheetViews>
  <sheetFormatPr defaultColWidth="12.5703125" defaultRowHeight="14.25" x14ac:dyDescent="0.2"/>
  <cols>
    <col min="1" max="1" width="10.7109375" style="13" customWidth="1"/>
    <col min="2" max="2" width="13" style="13" customWidth="1"/>
    <col min="3" max="3" width="75.85546875" style="13" customWidth="1"/>
    <col min="4" max="4" width="12.28515625" style="13" customWidth="1"/>
    <col min="5" max="5" width="75.85546875" style="13" customWidth="1"/>
    <col min="6" max="6" width="16.85546875" style="13" customWidth="1"/>
    <col min="7" max="7" width="75.85546875" style="13" customWidth="1"/>
    <col min="8" max="8" width="22" style="13" customWidth="1"/>
    <col min="9" max="9" width="25.5703125" style="13" customWidth="1"/>
    <col min="10" max="10" width="11.28515625" style="13" customWidth="1"/>
    <col min="11" max="11" width="18" style="13" customWidth="1"/>
    <col min="12" max="12" width="18" customWidth="1"/>
    <col min="13" max="13" width="14" customWidth="1"/>
    <col min="14" max="16384" width="12.5703125" style="13"/>
  </cols>
  <sheetData>
    <row r="1" spans="1:12" ht="15.75" customHeight="1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9</v>
      </c>
      <c r="J1" s="30" t="s">
        <v>10</v>
      </c>
      <c r="K1" s="30" t="s">
        <v>11</v>
      </c>
      <c r="L1" s="31" t="s">
        <v>67</v>
      </c>
    </row>
    <row r="2" spans="1:12" ht="15.75" customHeight="1" x14ac:dyDescent="0.2">
      <c r="A2" s="13">
        <v>2</v>
      </c>
      <c r="B2" s="13" t="s">
        <v>12</v>
      </c>
      <c r="C2" s="13" t="str">
        <f>A2&amp;"."&amp;A2&amp;"."&amp;A2&amp;".0"</f>
        <v>2.2.2.0</v>
      </c>
      <c r="D2" s="13" t="s">
        <v>13</v>
      </c>
      <c r="E2" s="13" t="s">
        <v>14</v>
      </c>
      <c r="F2" s="13" t="s">
        <v>15</v>
      </c>
      <c r="G2" s="13" t="s">
        <v>14</v>
      </c>
      <c r="H2" s="13" t="str">
        <f>'Site 1 (HUB)'!H2</f>
        <v>TACACS-KEY</v>
      </c>
      <c r="I2" s="13" t="s">
        <v>17</v>
      </c>
      <c r="J2" s="22" t="str">
        <f>'Site 1 (HUB)'!K2</f>
        <v>10.11.0.10</v>
      </c>
      <c r="K2" s="22" t="str">
        <f>'Site 1 (HUB)'!L2</f>
        <v>10.11.0.10</v>
      </c>
      <c r="L2" s="22" t="str">
        <f>'Site 1 (HUB)'!M2</f>
        <v>OFF</v>
      </c>
    </row>
    <row r="3" spans="1:12" ht="15.75" customHeight="1" x14ac:dyDescent="0.2"/>
    <row r="4" spans="1:12" ht="31.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32" t="s">
        <v>28</v>
      </c>
      <c r="K4" s="32" t="s">
        <v>29</v>
      </c>
    </row>
    <row r="5" spans="1:12" ht="15.75" customHeight="1" x14ac:dyDescent="0.2">
      <c r="A5" s="7" t="s">
        <v>30</v>
      </c>
      <c r="B5" s="8">
        <v>10</v>
      </c>
      <c r="C5" s="7">
        <v>0</v>
      </c>
      <c r="D5" s="7" t="str">
        <f t="shared" ref="D5:D8" si="0">10&amp;"."&amp;($A$2)&amp;"."&amp;$B5&amp;"."&amp;0</f>
        <v>10.2.10.0</v>
      </c>
      <c r="E5" s="7" t="str">
        <f>LEFT(D5,LEN(D5)-1)&amp;"1"</f>
        <v>10.2.10.1</v>
      </c>
      <c r="F5" s="7" t="s">
        <v>50</v>
      </c>
      <c r="G5" s="7" t="str" cm="1">
        <f t="array" ref="G5">_xlfn.LET(
_xlpm.net,SUM(--_xlfn.TEXTSPLIT(Tabell62[[#This Row],[nett id]],".")*{16777216,65536,256,1}),
_xlpm.addr,_xlpm.net+1,
_xlfn.TEXTJOIN(".",TRUE,MOD(QUOTIENT(_xlpm.addr,{16777216,65536,256,1}),256))
)</f>
        <v>10.2.10.1</v>
      </c>
      <c r="H5" s="7" t="str" cm="1">
        <f t="array" ref="H5">_xlfn.LET(
_xlpm.net,SUM(--_xlfn.TEXTSPLIT(Tabell62[[#This Row],[nett id]],".")*{16777216,65536,256,1}),
_xlpm.mask,SUM(--_xlfn.TEXTSPLIT(Tabell62[[#This Row],[mask]],".")*{16777216,65536,256,1}),
_xlpm.addr,_xlpm.net+(4294967295-_xlpm.mask)-1,
_xlfn.TEXTJOIN(".",TRUE,MOD(QUOTIENT(_xlpm.addr,{16777216,65536,256,1}),256))
)</f>
        <v>10.2.10.254</v>
      </c>
      <c r="I5" s="7">
        <v>40</v>
      </c>
      <c r="J5" s="9">
        <v>21</v>
      </c>
      <c r="K5" s="9">
        <v>5</v>
      </c>
    </row>
    <row r="6" spans="1:12" ht="15.75" customHeight="1" x14ac:dyDescent="0.2">
      <c r="A6" s="7" t="s">
        <v>31</v>
      </c>
      <c r="B6" s="8">
        <v>20</v>
      </c>
      <c r="C6" s="7">
        <v>0</v>
      </c>
      <c r="D6" s="7" t="str">
        <f t="shared" si="0"/>
        <v>10.2.20.0</v>
      </c>
      <c r="E6" s="7" t="str">
        <f t="shared" ref="E6:E8" si="1">LEFT(D6,LEN(D6)-1)&amp;"1"</f>
        <v>10.2.20.1</v>
      </c>
      <c r="F6" s="7" t="s">
        <v>50</v>
      </c>
      <c r="G6" s="7" t="str" cm="1">
        <f t="array" ref="G6">_xlfn.LET(
_xlpm.net,SUM(--_xlfn.TEXTSPLIT(Tabell62[[#This Row],[nett id]],".")*{16777216,65536,256,1}),
_xlpm.addr,_xlpm.net+1,
_xlfn.TEXTJOIN(".",TRUE,MOD(QUOTIENT(_xlpm.addr,{16777216,65536,256,1}),256))
)</f>
        <v>10.2.20.1</v>
      </c>
      <c r="H6" s="7" t="str" cm="1">
        <f t="array" ref="H6">_xlfn.LET(
_xlpm.net,SUM(--_xlfn.TEXTSPLIT(Tabell62[[#This Row],[nett id]],".")*{16777216,65536,256,1}),
_xlpm.mask,SUM(--_xlfn.TEXTSPLIT(Tabell62[[#This Row],[mask]],".")*{16777216,65536,256,1}),
_xlpm.addr,_xlpm.net+(4294967295-_xlpm.mask)-1,
_xlfn.TEXTJOIN(".",TRUE,MOD(QUOTIENT(_xlpm.addr,{16777216,65536,256,1}),256))
)</f>
        <v>10.2.20.254</v>
      </c>
      <c r="I6" s="7">
        <v>40</v>
      </c>
      <c r="J6" s="9">
        <v>11</v>
      </c>
      <c r="K6" s="9">
        <v>2</v>
      </c>
    </row>
    <row r="7" spans="1:12" ht="15.75" customHeight="1" x14ac:dyDescent="0.2">
      <c r="A7" s="7" t="s">
        <v>32</v>
      </c>
      <c r="B7" s="8">
        <v>30</v>
      </c>
      <c r="C7" s="7">
        <v>0</v>
      </c>
      <c r="D7" s="7" t="str">
        <f t="shared" si="0"/>
        <v>10.2.30.0</v>
      </c>
      <c r="E7" s="7" t="str">
        <f t="shared" si="1"/>
        <v>10.2.30.1</v>
      </c>
      <c r="F7" s="7" t="s">
        <v>50</v>
      </c>
      <c r="G7" s="7" t="str" cm="1">
        <f t="array" ref="G7">_xlfn.LET(
_xlpm.net,SUM(--_xlfn.TEXTSPLIT(Tabell62[[#This Row],[nett id]],".")*{16777216,65536,256,1}),
_xlpm.addr,_xlpm.net+1,
_xlfn.TEXTJOIN(".",TRUE,MOD(QUOTIENT(_xlpm.addr,{16777216,65536,256,1}),256))
)</f>
        <v>10.2.30.1</v>
      </c>
      <c r="H7" s="7" t="str" cm="1">
        <f t="array" ref="H7">_xlfn.LET(
_xlpm.net,SUM(--_xlfn.TEXTSPLIT(Tabell62[[#This Row],[nett id]],".")*{16777216,65536,256,1}),
_xlpm.mask,SUM(--_xlfn.TEXTSPLIT(Tabell62[[#This Row],[mask]],".")*{16777216,65536,256,1}),
_xlpm.addr,_xlpm.net+(4294967295-_xlpm.mask)-1,
_xlfn.TEXTJOIN(".",TRUE,MOD(QUOTIENT(_xlpm.addr,{16777216,65536,256,1}),256))
)</f>
        <v>10.2.30.254</v>
      </c>
      <c r="I7" s="7">
        <v>40</v>
      </c>
      <c r="J7">
        <v>42</v>
      </c>
      <c r="K7">
        <v>7</v>
      </c>
    </row>
    <row r="8" spans="1:12" ht="15.75" customHeight="1" x14ac:dyDescent="0.2">
      <c r="A8" s="7" t="s">
        <v>33</v>
      </c>
      <c r="B8" s="8">
        <v>40</v>
      </c>
      <c r="C8" s="7">
        <v>0</v>
      </c>
      <c r="D8" s="7" t="str">
        <f t="shared" si="0"/>
        <v>10.2.40.0</v>
      </c>
      <c r="E8" s="7" t="str">
        <f t="shared" si="1"/>
        <v>10.2.40.1</v>
      </c>
      <c r="F8" s="7" t="s">
        <v>50</v>
      </c>
      <c r="G8" s="7" t="str" cm="1">
        <f t="array" ref="G8">_xlfn.LET(
_xlpm.net,SUM(--_xlfn.TEXTSPLIT(Tabell62[[#This Row],[nett id]],".")*{16777216,65536,256,1}),
_xlpm.addr,_xlpm.net+1,
_xlfn.TEXTJOIN(".",TRUE,MOD(QUOTIENT(_xlpm.addr,{16777216,65536,256,1}),256))
)</f>
        <v>10.2.40.1</v>
      </c>
      <c r="H8" s="7" t="str" cm="1">
        <f t="array" ref="H8">_xlfn.LET(
_xlpm.net,SUM(--_xlfn.TEXTSPLIT(Tabell62[[#This Row],[nett id]],".")*{16777216,65536,256,1}),
_xlpm.mask,SUM(--_xlfn.TEXTSPLIT(Tabell62[[#This Row],[mask]],".")*{16777216,65536,256,1}),
_xlpm.addr,_xlpm.net+(4294967295-_xlpm.mask)-1,
_xlfn.TEXTJOIN(".",TRUE,MOD(QUOTIENT(_xlpm.addr,{16777216,65536,256,1}),256))
)</f>
        <v>10.2.40.254</v>
      </c>
      <c r="I8" s="7">
        <v>40</v>
      </c>
      <c r="J8">
        <v>41</v>
      </c>
      <c r="K8">
        <v>10</v>
      </c>
    </row>
    <row r="9" spans="1:12" ht="15.75" customHeight="1" x14ac:dyDescent="0.2"/>
    <row r="10" spans="1:12" ht="15.75" customHeight="1" x14ac:dyDescent="0.2">
      <c r="A10" s="13" t="s">
        <v>19</v>
      </c>
      <c r="B10" s="6" t="s">
        <v>34</v>
      </c>
      <c r="C10" s="13" t="s">
        <v>35</v>
      </c>
      <c r="D10" s="13" t="s">
        <v>36</v>
      </c>
    </row>
    <row r="11" spans="1:12" ht="15.75" customHeight="1" x14ac:dyDescent="0.2">
      <c r="A11" s="13" t="s">
        <v>30</v>
      </c>
      <c r="B11" s="17" t="s">
        <v>37</v>
      </c>
      <c r="C11" s="13">
        <v>10</v>
      </c>
      <c r="D11" s="13" t="str">
        <f>A2&amp;"."&amp;A2&amp;"."&amp;A2&amp;"."&amp;(C11)</f>
        <v>2.2.2.10</v>
      </c>
    </row>
    <row r="12" spans="1:12" ht="15.75" customHeight="1" x14ac:dyDescent="0.2">
      <c r="A12" s="13" t="s">
        <v>31</v>
      </c>
      <c r="B12" s="17" t="s">
        <v>38</v>
      </c>
      <c r="C12" s="13">
        <v>20</v>
      </c>
      <c r="D12" s="13" t="str">
        <f>A2&amp;"."&amp;A2&amp;"."&amp;A2&amp;"."&amp;(C12)</f>
        <v>2.2.2.20</v>
      </c>
    </row>
    <row r="13" spans="1:12" ht="15.75" customHeight="1" x14ac:dyDescent="0.2">
      <c r="A13" s="13" t="s">
        <v>32</v>
      </c>
      <c r="B13" s="17" t="s">
        <v>39</v>
      </c>
      <c r="C13" s="13">
        <v>30</v>
      </c>
      <c r="D13" s="13" t="str">
        <f>A2&amp;"."&amp;A2&amp;"."&amp;A2&amp;"."&amp;(C13)</f>
        <v>2.2.2.30</v>
      </c>
    </row>
    <row r="14" spans="1:12" ht="15.75" customHeight="1" x14ac:dyDescent="0.2">
      <c r="A14" s="13" t="s">
        <v>33</v>
      </c>
      <c r="B14" s="17" t="s">
        <v>40</v>
      </c>
      <c r="C14" s="13">
        <v>40</v>
      </c>
      <c r="D14" s="13" t="str">
        <f t="shared" ref="D14" si="2">$A$2&amp;"."&amp;$A$2&amp;"."&amp;$A$2&amp;"."&amp;(C14)</f>
        <v>2.2.2.40</v>
      </c>
    </row>
    <row r="15" spans="1:12" ht="15.75" customHeight="1" x14ac:dyDescent="0.2"/>
    <row r="16" spans="1:12" ht="15.75" customHeight="1" x14ac:dyDescent="0.2">
      <c r="A16" s="13" t="s">
        <v>41</v>
      </c>
      <c r="B16" s="13" t="s">
        <v>19</v>
      </c>
      <c r="C16" s="13" t="s">
        <v>42</v>
      </c>
      <c r="D16" s="13" t="s">
        <v>24</v>
      </c>
      <c r="E16" s="13" t="s">
        <v>43</v>
      </c>
      <c r="F16" s="13" t="s">
        <v>44</v>
      </c>
      <c r="G16" s="13" t="s">
        <v>45</v>
      </c>
      <c r="H16" s="13" t="s">
        <v>46</v>
      </c>
      <c r="I16" s="13" t="s">
        <v>47</v>
      </c>
      <c r="J16" s="13" t="s">
        <v>48</v>
      </c>
    </row>
    <row r="17" spans="1:12" ht="15.75" customHeight="1" x14ac:dyDescent="0.2">
      <c r="A17" s="13" t="s">
        <v>49</v>
      </c>
      <c r="B17" s="13" t="s">
        <v>30</v>
      </c>
      <c r="C17" s="13" t="str">
        <f>172&amp;"."&amp;16&amp;"."&amp;0&amp;"."&amp;(H17+$A$2)</f>
        <v>172.16.0.12</v>
      </c>
      <c r="D17" s="13" t="s">
        <v>50</v>
      </c>
      <c r="G17" s="13" t="s">
        <v>51</v>
      </c>
      <c r="H17" s="13">
        <v>10</v>
      </c>
      <c r="I17" s="13">
        <f t="array" ref="I17">'Site 1 (HUB)'!I17</f>
        <v>0</v>
      </c>
    </row>
    <row r="18" spans="1:12" ht="15.75" customHeight="1" x14ac:dyDescent="0.2">
      <c r="A18" s="13" t="s">
        <v>52</v>
      </c>
      <c r="B18" s="13" t="s">
        <v>32</v>
      </c>
      <c r="C18" s="13" t="str">
        <f>172&amp;"."&amp;16&amp;"."&amp;0&amp;"."&amp;(H18+$A$2)</f>
        <v>172.16.0.32</v>
      </c>
      <c r="D18" s="13" t="s">
        <v>50</v>
      </c>
      <c r="G18" s="13" t="s">
        <v>51</v>
      </c>
      <c r="H18" s="13">
        <v>30</v>
      </c>
      <c r="I18" s="13" t="b">
        <f t="array" ref="I18">'Site 1 (HUB)'!I18</f>
        <v>1</v>
      </c>
    </row>
    <row r="19" spans="1:12" ht="15.75" customHeight="1" x14ac:dyDescent="0.2">
      <c r="A19" s="13" t="s">
        <v>53</v>
      </c>
      <c r="B19" s="13" t="s">
        <v>33</v>
      </c>
      <c r="C19" s="13" t="str">
        <f t="shared" ref="C19" si="3">172&amp;"."&amp;16&amp;"."&amp;0&amp;"."&amp;(H19+$A$2)</f>
        <v>172.16.0.42</v>
      </c>
      <c r="D19" s="13" t="s">
        <v>50</v>
      </c>
      <c r="G19" s="13" t="s">
        <v>51</v>
      </c>
      <c r="H19" s="13">
        <v>40</v>
      </c>
      <c r="I19" s="13" t="b">
        <f>'Site 1 (HUB)'!I19</f>
        <v>1</v>
      </c>
    </row>
    <row r="20" spans="1:12" ht="15.75" customHeight="1" x14ac:dyDescent="0.2"/>
    <row r="21" spans="1:12" ht="16.5" customHeight="1" x14ac:dyDescent="0.2">
      <c r="A21" s="13" t="s">
        <v>0</v>
      </c>
      <c r="B21" s="13" t="s">
        <v>3</v>
      </c>
      <c r="C21" s="13" t="s">
        <v>4</v>
      </c>
      <c r="D21" s="13" t="s">
        <v>5</v>
      </c>
      <c r="E21" s="13" t="s">
        <v>6</v>
      </c>
      <c r="F21" s="13" t="s">
        <v>54</v>
      </c>
      <c r="G21" s="1" t="s">
        <v>55</v>
      </c>
      <c r="H21"/>
    </row>
    <row r="22" spans="1:12" ht="15.75" customHeight="1" x14ac:dyDescent="0.2">
      <c r="A22" s="13">
        <f>A2</f>
        <v>2</v>
      </c>
      <c r="B22" s="13" t="s">
        <v>13</v>
      </c>
      <c r="C22" s="13" t="s">
        <v>14</v>
      </c>
      <c r="D22" s="13" t="s">
        <v>15</v>
      </c>
      <c r="E22" s="13" t="s">
        <v>14</v>
      </c>
      <c r="F22" s="13">
        <v>2</v>
      </c>
      <c r="G22" s="2" t="s">
        <v>56</v>
      </c>
      <c r="H22" s="19"/>
    </row>
    <row r="23" spans="1:12" ht="15.75" customHeight="1" x14ac:dyDescent="0.2"/>
    <row r="24" spans="1:12" ht="15.75" customHeight="1" x14ac:dyDescent="0.2">
      <c r="A24" s="14" t="s">
        <v>57</v>
      </c>
      <c r="B24" s="14" t="s">
        <v>58</v>
      </c>
      <c r="C24" s="14" t="s">
        <v>59</v>
      </c>
      <c r="D24" s="14" t="s">
        <v>23</v>
      </c>
      <c r="E24" s="14" t="s">
        <v>24</v>
      </c>
      <c r="F24" s="14" t="s">
        <v>60</v>
      </c>
      <c r="G24" s="14" t="s">
        <v>61</v>
      </c>
      <c r="H24" s="14" t="s">
        <v>62</v>
      </c>
      <c r="I24" s="14" t="s">
        <v>63</v>
      </c>
      <c r="J24" s="14" t="s">
        <v>1</v>
      </c>
      <c r="K24" s="14" t="s">
        <v>64</v>
      </c>
      <c r="L24" t="s">
        <v>65</v>
      </c>
    </row>
    <row r="25" spans="1:12" ht="15.75" customHeight="1" x14ac:dyDescent="0.2">
      <c r="A25" s="7">
        <f>(ROW())-(ROW()-1)</f>
        <v>1</v>
      </c>
      <c r="B25" s="7">
        <v>10</v>
      </c>
      <c r="C25" s="7" t="str">
        <f>LEFT($G$5,LEN($G$5)-1)&amp;(RIGHT($G$5,1)+A25)</f>
        <v>10.2.10.2</v>
      </c>
      <c r="D25" s="7" t="str">
        <f>$E$5</f>
        <v>10.2.10.1</v>
      </c>
      <c r="E25" s="7" t="str">
        <f>$F$5</f>
        <v>255.255.255.0</v>
      </c>
      <c r="F25" s="7">
        <v>24</v>
      </c>
      <c r="G25" s="7">
        <v>1</v>
      </c>
      <c r="H25" s="10">
        <v>0</v>
      </c>
      <c r="I25" s="7" t="s">
        <v>66</v>
      </c>
      <c r="J25" s="2" t="s">
        <v>12</v>
      </c>
      <c r="K25" s="2">
        <f>IF($A25=1,F25-G25-H25*$F$22-2-IF(OR(UPPER($G$22)="SPAN",UPPER($G$22)="RSPAN"),1,0),F25-G25-(1+H25)*$F$22-1)</f>
        <v>20</v>
      </c>
      <c r="L25" t="str">
        <f>10&amp;"."&amp;(50+$A$2)&amp;"."&amp;0&amp;"."&amp;(A25+1)</f>
        <v>10.52.0.2</v>
      </c>
    </row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2">
    <dataValidation type="custom" allowBlank="1" showInputMessage="1" showErrorMessage="1" sqref="I25" xr:uid="{00000000-0002-0000-0100-000000000000}">
      <formula1>IF(I25="",TRUE,SUM(--_xlfn.TEXTAFTER(_xlfn.TEXTSPLIT(I25,"-"),"."))&lt;=K25)</formula1>
    </dataValidation>
    <dataValidation type="list" sqref="G22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selection activeCell="J4" sqref="J4:K4"/>
    </sheetView>
  </sheetViews>
  <sheetFormatPr defaultRowHeight="12.75" x14ac:dyDescent="0.2"/>
  <cols>
    <col min="1" max="1" width="10.7109375" customWidth="1"/>
    <col min="2" max="2" width="13" customWidth="1"/>
    <col min="3" max="3" width="75.85546875" customWidth="1"/>
    <col min="4" max="4" width="12.28515625" customWidth="1"/>
    <col min="5" max="5" width="75.85546875" customWidth="1"/>
    <col min="6" max="6" width="16.85546875" customWidth="1"/>
    <col min="7" max="7" width="58.7109375" customWidth="1"/>
    <col min="8" max="8" width="22" customWidth="1"/>
    <col min="9" max="9" width="25.5703125" customWidth="1"/>
    <col min="10" max="10" width="11.28515625" customWidth="1"/>
    <col min="11" max="12" width="18" customWidth="1"/>
    <col min="13" max="13" width="14" customWidth="1"/>
  </cols>
  <sheetData>
    <row r="1" spans="1:12" ht="15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9</v>
      </c>
      <c r="J1" s="21" t="s">
        <v>10</v>
      </c>
      <c r="K1" s="30" t="s">
        <v>11</v>
      </c>
      <c r="L1" s="31" t="s">
        <v>67</v>
      </c>
    </row>
    <row r="2" spans="1:12" ht="14.25" x14ac:dyDescent="0.2">
      <c r="A2" s="13">
        <v>3</v>
      </c>
      <c r="B2" s="13" t="s">
        <v>12</v>
      </c>
      <c r="C2" s="13" t="str">
        <f>A2&amp;"."&amp;A2&amp;"."&amp;A2&amp;".0"</f>
        <v>3.3.3.0</v>
      </c>
      <c r="D2" s="13" t="s">
        <v>13</v>
      </c>
      <c r="E2" s="13" t="s">
        <v>14</v>
      </c>
      <c r="F2" s="13" t="s">
        <v>15</v>
      </c>
      <c r="G2" s="13" t="s">
        <v>14</v>
      </c>
      <c r="H2" s="13" t="str">
        <f>'Site 1 (HUB)'!H2</f>
        <v>TACACS-KEY</v>
      </c>
      <c r="I2" s="13" t="s">
        <v>17</v>
      </c>
      <c r="J2" s="23" t="str">
        <f>'Site 1 (HUB)'!K2</f>
        <v>10.11.0.10</v>
      </c>
      <c r="K2" s="22" t="str">
        <f>'Site 1 (HUB)'!L2</f>
        <v>10.11.0.10</v>
      </c>
      <c r="L2" s="28" t="s">
        <v>68</v>
      </c>
    </row>
    <row r="3" spans="1:12" ht="14.25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</row>
    <row r="4" spans="1:12" ht="15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32" t="s">
        <v>28</v>
      </c>
      <c r="K4" s="32" t="s">
        <v>29</v>
      </c>
    </row>
    <row r="5" spans="1:12" ht="14.25" x14ac:dyDescent="0.2">
      <c r="A5" s="7" t="s">
        <v>30</v>
      </c>
      <c r="B5" s="8">
        <v>10</v>
      </c>
      <c r="C5" s="7">
        <v>0</v>
      </c>
      <c r="D5" s="7" t="str">
        <f t="shared" ref="D5:D8" si="0">10&amp;"."&amp;($A$2)&amp;"."&amp;$B5&amp;"."&amp;0</f>
        <v>10.3.10.0</v>
      </c>
      <c r="E5" s="7" t="str">
        <f>LEFT(D5,LEN(D5)-1)&amp;"1"</f>
        <v>10.3.10.1</v>
      </c>
      <c r="F5" s="7" t="s">
        <v>50</v>
      </c>
      <c r="G5" s="7" t="str" cm="1">
        <f t="array" ref="G5">_xlfn.LET(
_xlpm.net,SUM(--_xlfn.TEXTSPLIT(Tabell628[[#This Row],[nett id]],".")*{16777216,65536,256,1}),
_xlpm.addr,_xlpm.net+1,
_xlfn.TEXTJOIN(".",TRUE,MOD(QUOTIENT(_xlpm.addr,{16777216,65536,256,1}),256))
)</f>
        <v>10.3.10.1</v>
      </c>
      <c r="H5" s="7" t="str" cm="1">
        <f t="array" ref="H5">_xlfn.LET(
_xlpm.net,SUM(--_xlfn.TEXTSPLIT(Tabell628[[#This Row],[nett id]],".")*{16777216,65536,256,1}),
_xlpm.mask,SUM(--_xlfn.TEXTSPLIT(Tabell628[[#This Row],[mask]],".")*{16777216,65536,256,1}),
_xlpm.addr,_xlpm.net+(4294967295-_xlpm.mask)-1,
_xlfn.TEXTJOIN(".",TRUE,MOD(QUOTIENT(_xlpm.addr,{16777216,65536,256,1}),256))
)</f>
        <v>10.3.10.254</v>
      </c>
      <c r="I5" s="7">
        <v>40</v>
      </c>
      <c r="J5" s="9">
        <v>21</v>
      </c>
      <c r="K5" s="9">
        <v>5</v>
      </c>
    </row>
    <row r="6" spans="1:12" ht="14.25" x14ac:dyDescent="0.2">
      <c r="A6" s="7" t="s">
        <v>31</v>
      </c>
      <c r="B6" s="8">
        <v>20</v>
      </c>
      <c r="C6" s="7">
        <v>0</v>
      </c>
      <c r="D6" s="7" t="str">
        <f t="shared" si="0"/>
        <v>10.3.20.0</v>
      </c>
      <c r="E6" s="7" t="str">
        <f t="shared" ref="E6:E8" si="1">LEFT(D6,LEN(D6)-1)&amp;"1"</f>
        <v>10.3.20.1</v>
      </c>
      <c r="F6" s="7" t="s">
        <v>50</v>
      </c>
      <c r="G6" s="7" t="str" cm="1">
        <f t="array" ref="G6">_xlfn.LET(
_xlpm.net,SUM(--_xlfn.TEXTSPLIT(Tabell628[[#This Row],[nett id]],".")*{16777216,65536,256,1}),
_xlpm.addr,_xlpm.net+1,
_xlfn.TEXTJOIN(".",TRUE,MOD(QUOTIENT(_xlpm.addr,{16777216,65536,256,1}),256))
)</f>
        <v>10.3.20.1</v>
      </c>
      <c r="H6" s="7" t="str" cm="1">
        <f t="array" ref="H6">_xlfn.LET(
_xlpm.net,SUM(--_xlfn.TEXTSPLIT(Tabell628[[#This Row],[nett id]],".")*{16777216,65536,256,1}),
_xlpm.mask,SUM(--_xlfn.TEXTSPLIT(Tabell628[[#This Row],[mask]],".")*{16777216,65536,256,1}),
_xlpm.addr,_xlpm.net+(4294967295-_xlpm.mask)-1,
_xlfn.TEXTJOIN(".",TRUE,MOD(QUOTIENT(_xlpm.addr,{16777216,65536,256,1}),256))
)</f>
        <v>10.3.20.254</v>
      </c>
      <c r="I6" s="7">
        <v>40</v>
      </c>
      <c r="J6" s="9">
        <v>11</v>
      </c>
      <c r="K6" s="9">
        <v>2</v>
      </c>
    </row>
    <row r="7" spans="1:12" ht="14.25" x14ac:dyDescent="0.2">
      <c r="A7" s="7" t="s">
        <v>32</v>
      </c>
      <c r="B7" s="8">
        <v>30</v>
      </c>
      <c r="C7" s="7">
        <v>0</v>
      </c>
      <c r="D7" s="7" t="str">
        <f t="shared" si="0"/>
        <v>10.3.30.0</v>
      </c>
      <c r="E7" s="7" t="str">
        <f t="shared" si="1"/>
        <v>10.3.30.1</v>
      </c>
      <c r="F7" s="7" t="s">
        <v>50</v>
      </c>
      <c r="G7" s="7" t="str" cm="1">
        <f t="array" ref="G7">_xlfn.LET(
_xlpm.net,SUM(--_xlfn.TEXTSPLIT(Tabell628[[#This Row],[nett id]],".")*{16777216,65536,256,1}),
_xlpm.addr,_xlpm.net+1,
_xlfn.TEXTJOIN(".",TRUE,MOD(QUOTIENT(_xlpm.addr,{16777216,65536,256,1}),256))
)</f>
        <v>10.3.30.1</v>
      </c>
      <c r="H7" s="7" t="str" cm="1">
        <f t="array" ref="H7">_xlfn.LET(
_xlpm.net,SUM(--_xlfn.TEXTSPLIT(Tabell628[[#This Row],[nett id]],".")*{16777216,65536,256,1}),
_xlpm.mask,SUM(--_xlfn.TEXTSPLIT(Tabell628[[#This Row],[mask]],".")*{16777216,65536,256,1}),
_xlpm.addr,_xlpm.net+(4294967295-_xlpm.mask)-1,
_xlfn.TEXTJOIN(".",TRUE,MOD(QUOTIENT(_xlpm.addr,{16777216,65536,256,1}),256))
)</f>
        <v>10.3.30.254</v>
      </c>
      <c r="I7" s="7">
        <v>40</v>
      </c>
      <c r="J7">
        <v>42</v>
      </c>
      <c r="K7">
        <v>7</v>
      </c>
    </row>
    <row r="8" spans="1:12" ht="14.25" x14ac:dyDescent="0.2">
      <c r="A8" s="7" t="s">
        <v>33</v>
      </c>
      <c r="B8" s="8">
        <v>40</v>
      </c>
      <c r="C8" s="7">
        <v>0</v>
      </c>
      <c r="D8" s="7" t="str">
        <f t="shared" si="0"/>
        <v>10.3.40.0</v>
      </c>
      <c r="E8" s="7" t="str">
        <f t="shared" si="1"/>
        <v>10.3.40.1</v>
      </c>
      <c r="F8" s="7" t="s">
        <v>50</v>
      </c>
      <c r="G8" s="7" t="str" cm="1">
        <f t="array" ref="G8">_xlfn.LET(
_xlpm.net,SUM(--_xlfn.TEXTSPLIT(Tabell628[[#This Row],[nett id]],".")*{16777216,65536,256,1}),
_xlpm.addr,_xlpm.net+1,
_xlfn.TEXTJOIN(".",TRUE,MOD(QUOTIENT(_xlpm.addr,{16777216,65536,256,1}),256))
)</f>
        <v>10.3.40.1</v>
      </c>
      <c r="H8" s="7" t="str" cm="1">
        <f t="array" ref="H8">_xlfn.LET(
_xlpm.net,SUM(--_xlfn.TEXTSPLIT(Tabell628[[#This Row],[nett id]],".")*{16777216,65536,256,1}),
_xlpm.mask,SUM(--_xlfn.TEXTSPLIT(Tabell628[[#This Row],[mask]],".")*{16777216,65536,256,1}),
_xlpm.addr,_xlpm.net+(4294967295-_xlpm.mask)-1,
_xlfn.TEXTJOIN(".",TRUE,MOD(QUOTIENT(_xlpm.addr,{16777216,65536,256,1}),256))
)</f>
        <v>10.3.40.254</v>
      </c>
      <c r="I8" s="7">
        <v>40</v>
      </c>
      <c r="J8">
        <v>41</v>
      </c>
      <c r="K8">
        <v>10</v>
      </c>
    </row>
    <row r="9" spans="1:12" ht="14.25" x14ac:dyDescent="0.2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1:12" ht="15" x14ac:dyDescent="0.2">
      <c r="A10" s="13" t="s">
        <v>19</v>
      </c>
      <c r="B10" s="6" t="s">
        <v>34</v>
      </c>
      <c r="C10" s="13" t="s">
        <v>35</v>
      </c>
      <c r="D10" s="13" t="s">
        <v>36</v>
      </c>
      <c r="E10" s="13"/>
      <c r="F10" s="13"/>
      <c r="G10" s="13"/>
      <c r="H10" s="13"/>
      <c r="I10" s="13"/>
      <c r="J10" s="13"/>
      <c r="K10" s="13"/>
      <c r="L10" s="13"/>
    </row>
    <row r="11" spans="1:12" ht="14.25" x14ac:dyDescent="0.2">
      <c r="A11" s="13" t="s">
        <v>30</v>
      </c>
      <c r="B11" s="17" t="s">
        <v>37</v>
      </c>
      <c r="C11" s="13">
        <v>10</v>
      </c>
      <c r="D11" s="13" t="str">
        <f>A2&amp;"."&amp;A2&amp;"."&amp;A2&amp;"."&amp;(C11)</f>
        <v>3.3.3.10</v>
      </c>
      <c r="E11" s="13"/>
      <c r="F11" s="13"/>
      <c r="G11" s="13"/>
      <c r="H11" s="13"/>
      <c r="I11" s="13"/>
      <c r="J11" s="13"/>
      <c r="K11" s="13"/>
      <c r="L11" s="13"/>
    </row>
    <row r="12" spans="1:12" ht="14.25" x14ac:dyDescent="0.2">
      <c r="A12" s="13" t="s">
        <v>31</v>
      </c>
      <c r="B12" s="17" t="s">
        <v>38</v>
      </c>
      <c r="C12" s="13">
        <v>20</v>
      </c>
      <c r="D12" s="13" t="str">
        <f>A2&amp;"."&amp;A2&amp;"."&amp;A2&amp;"."&amp;(C12)</f>
        <v>3.3.3.20</v>
      </c>
      <c r="E12" s="13"/>
      <c r="F12" s="13"/>
      <c r="G12" s="13"/>
      <c r="H12" s="13"/>
      <c r="I12" s="13"/>
      <c r="J12" s="13"/>
      <c r="K12" s="13"/>
      <c r="L12" s="13"/>
    </row>
    <row r="13" spans="1:12" ht="14.25" x14ac:dyDescent="0.2">
      <c r="A13" s="13" t="s">
        <v>32</v>
      </c>
      <c r="B13" s="17" t="s">
        <v>39</v>
      </c>
      <c r="C13" s="13">
        <v>30</v>
      </c>
      <c r="D13" s="13" t="str">
        <f>A2&amp;"."&amp;A2&amp;"."&amp;A2&amp;"."&amp;(C13)</f>
        <v>3.3.3.30</v>
      </c>
      <c r="E13" s="13"/>
      <c r="F13" s="13"/>
      <c r="G13" s="13"/>
      <c r="H13" s="13"/>
      <c r="I13" s="13"/>
      <c r="J13" s="13"/>
      <c r="K13" s="13"/>
      <c r="L13" s="13"/>
    </row>
    <row r="14" spans="1:12" ht="14.25" x14ac:dyDescent="0.2">
      <c r="A14" s="13" t="s">
        <v>33</v>
      </c>
      <c r="B14" s="17" t="s">
        <v>40</v>
      </c>
      <c r="C14" s="13">
        <v>40</v>
      </c>
      <c r="D14" s="13" t="str">
        <f t="shared" ref="D14" si="2">$A$2&amp;"."&amp;$A$2&amp;"."&amp;$A$2&amp;"."&amp;(C14)</f>
        <v>3.3.3.40</v>
      </c>
      <c r="E14" s="13"/>
      <c r="F14" s="13"/>
      <c r="G14" s="13"/>
      <c r="H14" s="13"/>
      <c r="I14" s="13"/>
      <c r="J14" s="13"/>
      <c r="K14" s="13"/>
      <c r="L14" s="13"/>
    </row>
    <row r="15" spans="1:12" ht="14.25" x14ac:dyDescent="0.2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 spans="1:12" ht="14.25" x14ac:dyDescent="0.2">
      <c r="A16" s="13" t="s">
        <v>41</v>
      </c>
      <c r="B16" s="13" t="s">
        <v>19</v>
      </c>
      <c r="C16" s="13" t="s">
        <v>42</v>
      </c>
      <c r="D16" s="13" t="s">
        <v>24</v>
      </c>
      <c r="E16" s="13" t="s">
        <v>43</v>
      </c>
      <c r="F16" s="13" t="s">
        <v>44</v>
      </c>
      <c r="G16" s="13" t="s">
        <v>45</v>
      </c>
      <c r="H16" s="13" t="s">
        <v>46</v>
      </c>
      <c r="I16" s="13" t="s">
        <v>47</v>
      </c>
      <c r="J16" s="13" t="s">
        <v>48</v>
      </c>
      <c r="K16" s="13"/>
    </row>
    <row r="17" spans="1:12" ht="14.25" x14ac:dyDescent="0.2">
      <c r="A17" s="13" t="s">
        <v>49</v>
      </c>
      <c r="B17" s="13" t="s">
        <v>30</v>
      </c>
      <c r="C17" s="13" t="str">
        <f>172&amp;"."&amp;16&amp;"."&amp;0&amp;"."&amp;(H17+$A$2)</f>
        <v>172.16.0.13</v>
      </c>
      <c r="D17" s="13" t="s">
        <v>50</v>
      </c>
      <c r="E17" s="13"/>
      <c r="F17" s="13"/>
      <c r="G17" s="13" t="s">
        <v>51</v>
      </c>
      <c r="H17" s="13">
        <v>10</v>
      </c>
      <c r="I17" s="13">
        <f t="array" ref="I17">'Site 1 (HUB)'!I17</f>
        <v>0</v>
      </c>
      <c r="J17" s="13"/>
      <c r="K17" s="13"/>
    </row>
    <row r="18" spans="1:12" ht="14.25" x14ac:dyDescent="0.2">
      <c r="A18" s="13" t="s">
        <v>52</v>
      </c>
      <c r="B18" s="13" t="s">
        <v>32</v>
      </c>
      <c r="C18" s="13" t="str">
        <f>172&amp;"."&amp;16&amp;"."&amp;0&amp;"."&amp;(H18+$A$2)</f>
        <v>172.16.0.33</v>
      </c>
      <c r="D18" s="13" t="s">
        <v>50</v>
      </c>
      <c r="E18" s="13"/>
      <c r="F18" s="13"/>
      <c r="G18" s="13" t="s">
        <v>51</v>
      </c>
      <c r="H18" s="13">
        <v>30</v>
      </c>
      <c r="I18" s="13" t="b">
        <f t="array" ref="I18">'Site 1 (HUB)'!I18</f>
        <v>1</v>
      </c>
      <c r="J18" s="13"/>
      <c r="K18" s="13"/>
    </row>
    <row r="19" spans="1:12" ht="14.25" x14ac:dyDescent="0.2">
      <c r="A19" s="13" t="s">
        <v>53</v>
      </c>
      <c r="B19" s="13" t="s">
        <v>33</v>
      </c>
      <c r="C19" s="13" t="str">
        <f t="shared" ref="C19" si="3">172&amp;"."&amp;16&amp;"."&amp;0&amp;"."&amp;(H19+$A$2)</f>
        <v>172.16.0.43</v>
      </c>
      <c r="D19" s="13" t="s">
        <v>50</v>
      </c>
      <c r="E19" s="13"/>
      <c r="F19" s="13"/>
      <c r="G19" s="13" t="s">
        <v>51</v>
      </c>
      <c r="H19" s="13">
        <v>40</v>
      </c>
      <c r="I19" s="13" t="b">
        <f>'Site 1 (HUB)'!I19</f>
        <v>1</v>
      </c>
      <c r="J19" s="13"/>
      <c r="K19" s="13"/>
    </row>
    <row r="20" spans="1:12" ht="14.25" x14ac:dyDescent="0.2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</row>
    <row r="21" spans="1:12" ht="14.25" x14ac:dyDescent="0.2">
      <c r="A21" s="13" t="s">
        <v>0</v>
      </c>
      <c r="B21" s="13" t="s">
        <v>3</v>
      </c>
      <c r="C21" s="13" t="s">
        <v>4</v>
      </c>
      <c r="D21" s="13" t="s">
        <v>5</v>
      </c>
      <c r="E21" s="13" t="s">
        <v>6</v>
      </c>
      <c r="F21" s="13" t="s">
        <v>54</v>
      </c>
      <c r="G21" s="1" t="s">
        <v>55</v>
      </c>
      <c r="H21" s="13"/>
      <c r="I21" s="13"/>
      <c r="J21" s="13"/>
      <c r="K21" s="13"/>
    </row>
    <row r="22" spans="1:12" ht="14.25" x14ac:dyDescent="0.2">
      <c r="A22" s="13">
        <f>A2</f>
        <v>3</v>
      </c>
      <c r="B22" s="13" t="s">
        <v>13</v>
      </c>
      <c r="C22" s="13" t="s">
        <v>14</v>
      </c>
      <c r="D22" s="13" t="s">
        <v>15</v>
      </c>
      <c r="E22" s="13" t="s">
        <v>14</v>
      </c>
      <c r="F22" s="13">
        <v>2</v>
      </c>
      <c r="G22" s="2" t="s">
        <v>56</v>
      </c>
      <c r="H22" s="20"/>
      <c r="I22" s="13"/>
      <c r="J22" s="13"/>
      <c r="K22" s="13"/>
    </row>
    <row r="23" spans="1:12" ht="14.25" x14ac:dyDescent="0.2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</row>
    <row r="24" spans="1:12" ht="15" x14ac:dyDescent="0.2">
      <c r="A24" s="14" t="s">
        <v>57</v>
      </c>
      <c r="B24" s="14" t="s">
        <v>58</v>
      </c>
      <c r="C24" s="14" t="s">
        <v>59</v>
      </c>
      <c r="D24" s="14" t="s">
        <v>23</v>
      </c>
      <c r="E24" s="14" t="s">
        <v>24</v>
      </c>
      <c r="F24" s="14" t="s">
        <v>60</v>
      </c>
      <c r="G24" s="14" t="s">
        <v>61</v>
      </c>
      <c r="H24" s="14" t="s">
        <v>62</v>
      </c>
      <c r="I24" s="14" t="s">
        <v>63</v>
      </c>
      <c r="J24" s="14" t="s">
        <v>1</v>
      </c>
      <c r="K24" s="14" t="s">
        <v>64</v>
      </c>
      <c r="L24" t="s">
        <v>65</v>
      </c>
    </row>
    <row r="25" spans="1:12" ht="14.25" x14ac:dyDescent="0.2">
      <c r="A25" s="7">
        <f>(ROW())-(ROW()-1)</f>
        <v>1</v>
      </c>
      <c r="B25" s="7">
        <v>10</v>
      </c>
      <c r="C25" s="7" t="str">
        <f>LEFT($G$5,LEN($G$5)-1)&amp;(RIGHT($G$5,1)+A25)</f>
        <v>10.3.10.2</v>
      </c>
      <c r="D25" s="7" t="str">
        <f>$E$5</f>
        <v>10.3.10.1</v>
      </c>
      <c r="E25" s="7" t="str">
        <f>$F$5</f>
        <v>255.255.255.0</v>
      </c>
      <c r="F25" s="7">
        <v>24</v>
      </c>
      <c r="G25" s="7">
        <v>1</v>
      </c>
      <c r="H25" s="10">
        <v>0</v>
      </c>
      <c r="I25" s="7" t="s">
        <v>66</v>
      </c>
      <c r="J25" s="2" t="s">
        <v>12</v>
      </c>
      <c r="K25" s="2">
        <f>IF($A25=1,F25-G25-H25*$F$22-2-IF(OR(UPPER($G$22)="SPAN",UPPER($G$22)="RSPAN"),1,0),F25-G25-(1+H25)*$F$22-1)</f>
        <v>20</v>
      </c>
    </row>
    <row r="26" spans="1:12" ht="14.25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</row>
  </sheetData>
  <dataValidations count="3">
    <dataValidation type="custom" allowBlank="1" showInputMessage="1" showErrorMessage="1" sqref="I25" xr:uid="{00000000-0002-0000-0200-000000000000}">
      <formula1>IF(I25="",TRUE,SUM(--_xlfn.TEXTAFTER(_xlfn.TEXTSPLIT(I25,"-"),"."))&lt;=K25)</formula1>
    </dataValidation>
    <dataValidation type="list" sqref="G22" xr:uid="{00000000-0002-0000-0200-000001000000}">
      <formula1>"SPAN,RSPAN,ERSPAN"</formula1>
    </dataValidation>
    <dataValidation type="list" sqref="L2" xr:uid="{00000000-0002-0000-02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B9" sqref="B9"/>
    </sheetView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24" t="s">
        <v>43</v>
      </c>
      <c r="B1" s="24" t="s">
        <v>44</v>
      </c>
      <c r="C1" s="24" t="s">
        <v>69</v>
      </c>
      <c r="D1" s="24" t="s">
        <v>70</v>
      </c>
      <c r="E1" s="24" t="s">
        <v>71</v>
      </c>
      <c r="G1" s="26" t="s">
        <v>72</v>
      </c>
      <c r="H1" s="26" t="s">
        <v>73</v>
      </c>
    </row>
    <row r="2" spans="1:8" ht="25.5" x14ac:dyDescent="0.2">
      <c r="A2" s="25" t="s">
        <v>30</v>
      </c>
      <c r="B2" s="25" t="s">
        <v>8</v>
      </c>
      <c r="C2" s="25" t="s">
        <v>74</v>
      </c>
      <c r="D2" s="25">
        <v>67</v>
      </c>
      <c r="E2" s="25" t="s">
        <v>75</v>
      </c>
      <c r="G2" s="27" t="s">
        <v>76</v>
      </c>
      <c r="H2" s="27" t="s">
        <v>77</v>
      </c>
    </row>
    <row r="3" spans="1:8" ht="25.5" x14ac:dyDescent="0.2">
      <c r="A3" s="25" t="s">
        <v>30</v>
      </c>
      <c r="B3" s="25" t="s">
        <v>30</v>
      </c>
      <c r="C3" s="25" t="s">
        <v>78</v>
      </c>
      <c r="D3" s="25" t="s">
        <v>79</v>
      </c>
      <c r="E3" s="25" t="s">
        <v>75</v>
      </c>
      <c r="G3" s="27" t="s">
        <v>80</v>
      </c>
      <c r="H3" s="27" t="s">
        <v>81</v>
      </c>
    </row>
    <row r="4" spans="1:8" ht="25.5" x14ac:dyDescent="0.2">
      <c r="A4" s="25" t="s">
        <v>31</v>
      </c>
      <c r="B4" s="25" t="s">
        <v>8</v>
      </c>
      <c r="C4" s="25" t="s">
        <v>74</v>
      </c>
      <c r="D4" s="25">
        <v>67</v>
      </c>
      <c r="E4" s="25" t="s">
        <v>75</v>
      </c>
      <c r="G4" s="27" t="s">
        <v>82</v>
      </c>
      <c r="H4" s="27" t="s">
        <v>83</v>
      </c>
    </row>
    <row r="5" spans="1:8" ht="25.5" x14ac:dyDescent="0.2">
      <c r="A5" s="25" t="s">
        <v>31</v>
      </c>
      <c r="B5" s="25" t="s">
        <v>31</v>
      </c>
      <c r="C5" s="25" t="s">
        <v>78</v>
      </c>
      <c r="D5" s="25" t="s">
        <v>79</v>
      </c>
      <c r="E5" s="25" t="s">
        <v>84</v>
      </c>
      <c r="G5" s="27" t="s">
        <v>8</v>
      </c>
      <c r="H5" s="27" t="s">
        <v>85</v>
      </c>
    </row>
    <row r="6" spans="1:8" ht="25.5" x14ac:dyDescent="0.2">
      <c r="A6" s="25" t="s">
        <v>31</v>
      </c>
      <c r="B6" s="25" t="s">
        <v>86</v>
      </c>
      <c r="C6" s="25" t="s">
        <v>74</v>
      </c>
      <c r="D6" s="25">
        <v>53</v>
      </c>
      <c r="E6" s="25" t="s">
        <v>75</v>
      </c>
      <c r="G6" s="27" t="s">
        <v>87</v>
      </c>
      <c r="H6" s="27" t="s">
        <v>88</v>
      </c>
    </row>
    <row r="7" spans="1:8" ht="25.5" x14ac:dyDescent="0.2">
      <c r="A7" s="25" t="s">
        <v>31</v>
      </c>
      <c r="B7" s="25" t="s">
        <v>86</v>
      </c>
      <c r="C7" s="25" t="s">
        <v>89</v>
      </c>
      <c r="D7" s="25">
        <v>53</v>
      </c>
      <c r="E7" s="25" t="s">
        <v>75</v>
      </c>
      <c r="G7" s="27" t="s">
        <v>90</v>
      </c>
      <c r="H7" s="27" t="s">
        <v>91</v>
      </c>
    </row>
    <row r="8" spans="1:8" ht="38.25" x14ac:dyDescent="0.2">
      <c r="A8" s="25" t="s">
        <v>31</v>
      </c>
      <c r="B8" s="25" t="s">
        <v>92</v>
      </c>
      <c r="C8" s="25" t="s">
        <v>89</v>
      </c>
      <c r="D8" s="25">
        <v>80</v>
      </c>
      <c r="E8" s="25" t="s">
        <v>75</v>
      </c>
      <c r="G8" s="27" t="s">
        <v>93</v>
      </c>
      <c r="H8" s="27" t="s">
        <v>94</v>
      </c>
    </row>
    <row r="9" spans="1:8" ht="25.5" x14ac:dyDescent="0.2">
      <c r="A9" s="25" t="s">
        <v>31</v>
      </c>
      <c r="B9" s="25" t="s">
        <v>92</v>
      </c>
      <c r="C9" s="25" t="s">
        <v>89</v>
      </c>
      <c r="D9" s="25">
        <v>443</v>
      </c>
      <c r="E9" s="25" t="s">
        <v>75</v>
      </c>
      <c r="G9" s="27" t="s">
        <v>95</v>
      </c>
      <c r="H9" s="27" t="s">
        <v>96</v>
      </c>
    </row>
    <row r="10" spans="1:8" x14ac:dyDescent="0.2">
      <c r="A10" s="25" t="s">
        <v>32</v>
      </c>
      <c r="B10" s="25" t="s">
        <v>8</v>
      </c>
      <c r="C10" s="25" t="s">
        <v>74</v>
      </c>
      <c r="D10" s="25">
        <v>67</v>
      </c>
      <c r="E10" s="25" t="s">
        <v>75</v>
      </c>
    </row>
    <row r="11" spans="1:8" x14ac:dyDescent="0.2">
      <c r="A11" s="25" t="s">
        <v>32</v>
      </c>
      <c r="B11" s="25" t="s">
        <v>32</v>
      </c>
      <c r="C11" s="25" t="s">
        <v>78</v>
      </c>
      <c r="D11" s="25" t="s">
        <v>79</v>
      </c>
      <c r="E11" s="25" t="s">
        <v>75</v>
      </c>
    </row>
    <row r="12" spans="1:8" x14ac:dyDescent="0.2">
      <c r="A12" s="25" t="s">
        <v>33</v>
      </c>
      <c r="B12" s="25" t="s">
        <v>8</v>
      </c>
      <c r="C12" s="25" t="s">
        <v>74</v>
      </c>
      <c r="D12" s="25">
        <v>67</v>
      </c>
      <c r="E12" s="25" t="s">
        <v>75</v>
      </c>
    </row>
    <row r="13" spans="1:8" x14ac:dyDescent="0.2">
      <c r="A13" s="25" t="s">
        <v>33</v>
      </c>
      <c r="B13" s="25" t="s">
        <v>33</v>
      </c>
      <c r="C13" s="25" t="s">
        <v>78</v>
      </c>
      <c r="D13" s="25" t="s">
        <v>79</v>
      </c>
      <c r="E13" s="25" t="s">
        <v>75</v>
      </c>
    </row>
  </sheetData>
  <dataValidations count="4">
    <dataValidation type="list" sqref="A2:A200" xr:uid="{00000000-0002-0000-0300-000000000000}">
      <formula1>"MGMT,INET,UNET,PA,MONITORING"</formula1>
    </dataValidation>
    <dataValidation type="list" sqref="B2:B200" xr:uid="{00000000-0002-0000-0300-000001000000}">
      <formula1>"MGMT,INET,UNET,PA,MONITORING,INTERNET,ANY,DNS,DHCP,TACACS,SYSLOG,SELF"</formula1>
    </dataValidation>
    <dataValidation type="list" sqref="C2:C200" xr:uid="{00000000-0002-0000-0300-000002000000}">
      <formula1>"ip,tcp,udp,icmp,gre,esp,ah"</formula1>
    </dataValidation>
    <dataValidation type="list" sqref="E2:E200" xr:uid="{00000000-0002-0000-03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2026-09-15T16:19:55Z</dcterms:modified>
</cp:coreProperties>
</file>