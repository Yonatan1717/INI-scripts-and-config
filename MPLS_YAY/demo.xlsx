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3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a7beafafe64a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te 1 (HUB)" sheetId="1" r:id="R153f85080c0e4c24"/>
    <x:sheet xmlns:r="http://schemas.openxmlformats.org/officeDocument/2006/relationships" name="Site 2" sheetId="2" r:id="R021e8561a09248a0"/>
    <x:sheet xmlns:r="http://schemas.openxmlformats.org/officeDocument/2006/relationships" name="Site 3" sheetId="4" r:id="R5e1a94581bdd4999"/>
  </x:sheets>
</x:workbook>
</file>

<file path=xl/sharedStrings.xml><?xml version="1.0" encoding="utf-8"?>
<x:sst xmlns:x="http://schemas.openxmlformats.org/spreadsheetml/2006/main">
  <x:si>
    <x:t xml:space="preserve">site</x:t>
  </x:si>
  <x:si>
    <x:t xml:space="preserve">intf_prefix</x:t>
  </x:si>
  <x:si>
    <x:t xml:space="preserve">router-id</x:t>
  </x:si>
  <x:si>
    <x:t xml:space="preserve">brukernavn</x:t>
  </x:si>
  <x:si>
    <x:t xml:space="preserve">passord</x:t>
  </x:si>
  <x:si>
    <x:t xml:space="preserve">vty_lines</x:t>
  </x:si>
  <x:si>
    <x:t xml:space="preserve">secret</x:t>
  </x:si>
  <x:si>
    <x:t xml:space="preserve">tacacs_key</x:t>
  </x:si>
  <x:si>
    <x:t xml:space="preserve">DHCP</x:t>
  </x:si>
  <x:si>
    <x:t xml:space="preserve">dns_servers</x:t>
  </x:si>
  <x:si>
    <x:t xml:space="preserve">g0/</x:t>
  </x:si>
  <x:si>
    <x:t xml:space="preserve">admin</x:t>
  </x:si>
  <x:si>
    <x:t xml:space="preserve">$9$0nNdTjfcaOQFlP$4VgON16XmZXlfGr4BcOzEN7OoRxfPIAcXDQ0afwx67k</x:t>
  </x:si>
  <x:si>
    <x:t xml:space="preserve">0 - 15</x:t>
  </x:si>
  <x:si>
    <x:t xml:space="preserve">TACACS-KEY</x:t>
  </x:si>
  <x:si>
    <x:t xml:space="preserve">192.168.255.1</x:t>
  </x:si>
  <x:si>
    <x:t xml:space="preserve">vrf</x:t>
  </x:si>
  <x:si>
    <x:t xml:space="preserve">vlan</x:t>
  </x:si>
  <x:si>
    <x:t xml:space="preserve">interface</x:t>
  </x:si>
  <x:si>
    <x:t xml:space="preserve">nett id</x:t>
  </x:si>
  <x:si>
    <x:t xml:space="preserve">gateway</x:t>
  </x:si>
  <x:si>
    <x:t xml:space="preserve">mask</x:t>
  </x:si>
  <x:si>
    <x:t xml:space="preserve">address min</x:t>
  </x:si>
  <x:si>
    <x:t xml:space="preserve">address max</x:t>
  </x:si>
  <x:si>
    <x:t xml:space="preserve">antall-res</x:t>
  </x:si>
  <x:si>
    <x:t xml:space="preserve">pri-afxx</x:t>
  </x:si>
  <x:si>
    <x:t xml:space="preserve">pri-1-10</x:t>
  </x:si>
  <x:si>
    <x:t xml:space="preserve">MGMT</x:t>
  </x:si>
  <x:si>
    <x:t xml:space="preserve">255.255.0.0</x:t>
  </x:si>
  <x:si>
    <x:t xml:space="preserve">INET</x:t>
  </x:si>
  <x:si>
    <x:t xml:space="preserve">UNET</x:t>
  </x:si>
  <x:si>
    <x:t xml:space="preserve">PA</x:t>
  </x:si>
  <x:si>
    <x:t xml:space="preserve">rt</x:t>
  </x:si>
  <x:si>
    <x:t xml:space="preserve">loopback</x:t>
  </x:si>
  <x:si>
    <x:t xml:space="preserve">laddr</x:t>
  </x:si>
  <x:si>
    <x:t xml:space="preserve">1337:10</x:t>
  </x:si>
  <x:si>
    <x:t xml:space="preserve">1337:20</x:t>
  </x:si>
  <x:si>
    <x:t xml:space="preserve">1337:30</x:t>
  </x:si>
  <x:si>
    <x:t xml:space="preserve">1337:40</x:t>
  </x:si>
  <x:si>
    <x:t xml:space="preserve">tunnel id</x:t>
  </x:si>
  <x:si>
    <x:t xml:space="preserve">ip address</x:t>
  </x:si>
  <x:si>
    <x:t xml:space="preserve">source</x:t>
  </x:si>
  <x:si>
    <x:t xml:space="preserve">destination</x:t>
  </x:si>
  <x:si>
    <x:t xml:space="preserve">gre mode</x:t>
  </x:si>
  <x:si>
    <x:t xml:space="preserve">network-id</x:t>
  </x:si>
  <x:si>
    <x:t xml:space="preserve">ipsec</x:t>
  </x:si>
  <x:si>
    <x:t xml:space="preserve">ipsec key</x:t>
  </x:si>
  <x:si>
    <x:t xml:space="preserve">tunnel 10</x:t>
  </x:si>
  <x:si>
    <x:t xml:space="preserve">255.255.255.0</x:t>
  </x:si>
  <x:si>
    <x:t xml:space="preserve">multipoint</x:t>
  </x:si>
  <x:si>
    <x:t xml:space="preserve">tunnel 30</x:t>
  </x:si>
  <x:si>
    <x:t xml:space="preserve">tunnel 40</x:t>
  </x:si>
  <x:si>
    <x:t xml:space="preserve">etherchan_num</x:t>
  </x:si>
  <x:si>
    <x:t xml:space="preserve">span_mode</x:t>
  </x:si>
  <x:si>
    <x:t xml:space="preserve">ERSPAN</x:t>
  </x:si>
  <x:si>
    <x:t xml:space="preserve">SW</x:t>
  </x:si>
  <x:si>
    <x:t xml:space="preserve">MGMT Vlan</x:t>
  </x:si>
  <x:si>
    <x:t xml:space="preserve">MGMT ip</x:t>
  </x:si>
  <x:si>
    <x:t xml:space="preserve">num_ports_tot</x:t>
  </x:si>
  <x:si>
    <x:t xml:space="preserve">skiped_ports</x:t>
  </x:si>
  <x:si>
    <x:t xml:space="preserve">num_downlink</x:t>
  </x:si>
  <x:si>
    <x:t xml:space="preserve">vlan-antall</x:t>
  </x:si>
  <x:si>
    <x:t xml:space="preserve">num_port_ledig</x:t>
  </x:si>
  <x:si>
    <x:t xml:space="preserve">10.1-200.1-20.5-30.5-40.2</x:t>
  </x:si>
</x:sst>
</file>

<file path=xl/styles.xml><?xml version="1.0" encoding="utf-8"?>
<x:styleSheet xmlns:x="http://schemas.openxmlformats.org/spreadsheetml/2006/main">
  <x:fonts count="14">
    <x:font>
      <x:sz val="10"/>
      <x:color rgb="FF000000"/>
      <x:name val="Arial"/>
    </x:font>
    <x:font>
      <x:sz val="10"/>
      <x:color theme="1"/>
      <x:name val="Arial"/>
    </x:font>
    <x:font>
      <x:b/>
      <x:sz val="11"/>
      <x:color rgb="FF000000"/>
      <x:name val="Arial"/>
    </x:font>
    <x:font>
      <x:b/>
      <x:sz val="11"/>
      <x:color theme="1"/>
      <x:name val="Arial"/>
    </x:font>
    <x:font>
      <x:sz val="11"/>
      <x:color rgb="FF000000"/>
      <x:name val="Arial"/>
    </x:font>
    <x:font>
      <x:sz val="11"/>
      <x:color theme="1"/>
      <x:name val="Arial"/>
    </x:font>
    <x:font>
      <x:b/>
      <x:sz val="10"/>
      <x:color rgb="FF000000"/>
      <x:name val="Arial"/>
    </x:font>
    <x:font>
      <x:sz val="10"/>
      <x:color rgb="FF000000"/>
      <x:name val="Arial"/>
    </x:font>
    <x:font>
      <x:sz val="11"/>
      <x:color rgb="FF000000"/>
      <x:name val="Arial"/>
    </x:font>
    <x:font>
      <x:sz val="10"/>
      <x:color theme="1"/>
      <x:name val="Arial"/>
    </x:font>
    <x:font>
      <x:sz val="11"/>
      <x:color theme="1"/>
      <x:name val="Arial"/>
    </x:font>
    <x:font>
      <x:sz val="11"/>
      <x:color rgb="FF000000"/>
      <x:name val="Arial"/>
    </x:font>
    <x:font>
      <x:b/>
      <x:sz val="11"/>
      <x:name val="Arial"/>
    </x:font>
    <x:font>
      <x:sz val="11"/>
      <x:name val="Arial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Font="1" applyAlignment="1">
      <x:alignment horizontal="left" vertical="center"/>
    </x:xf>
    <x:xf numFmtId="0" fontId="1" fillId="0" borderId="0" xfId="0" applyFont="1" applyAlignment="1">
      <x:alignment vertical="center"/>
    </x:xf>
    <x:xf numFmtId="0" fontId="1" fillId="0" borderId="0" xfId="0" applyFont="1" applyAlignment="1">
      <x:alignment horizontal="left"/>
    </x:xf>
    <x:xf numFmtId="0" fontId="2" fillId="0" borderId="0" xfId="0" applyFont="1" applyAlignment="1">
      <x:alignment horizontal="left"/>
    </x:xf>
    <x:xf numFmtId="0" fontId="3" fillId="0" borderId="0" xfId="0" applyFont="1"/>
    <x:xf numFmtId="0" fontId="3" fillId="0" borderId="0" xfId="0" applyFont="1" applyAlignment="1">
      <x:alignment horizontal="left" vertical="center"/>
    </x:xf>
    <x:xf numFmtId="0" fontId="6" fillId="0" borderId="0" xfId="0" applyFont="1"/>
    <x:xf numFmtId="0" fontId="4" fillId="0" borderId="0" xfId="0" applyFont="1" applyAlignment="1">
      <x:alignment horizontal="left" vertical="center"/>
    </x:xf>
    <x:xf numFmtId="0" fontId="5" fillId="0" borderId="0" xfId="0" applyFont="1" applyAlignment="1">
      <x:alignment vertical="center"/>
    </x:xf>
    <x:xf numFmtId="0" fontId="7" fillId="0" borderId="0" xfId="0" applyFont="1"/>
    <x:xf numFmtId="0" fontId="8" fillId="0" borderId="0" xfId="0" applyFont="1" applyAlignment="1">
      <x:alignment horizontal="left" vertical="center"/>
    </x:xf>
    <x:xf numFmtId="0" fontId="4" fillId="0" borderId="0" xfId="0" applyFont="1" applyAlignment="1">
      <x:alignment horizontal="left"/>
    </x:xf>
    <x:xf numFmtId="0" fontId="9" fillId="0" borderId="0" xfId="0" applyFont="1" applyAlignment="1">
      <x:alignment vertical="center"/>
    </x:xf>
    <x:xf numFmtId="0" fontId="13" fillId="0" borderId="0" xfId="0" applyFont="1" applyAlignment="1">
      <x:alignment horizontal="left" vertical="center"/>
    </x:xf>
    <x:xf numFmtId="0" fontId="12" fillId="0" borderId="0" xfId="0" applyFont="1" applyAlignment="1">
      <x:alignment horizontal="center" vertical="center"/>
    </x:xf>
    <x:xf numFmtId="0" fontId="10" fillId="0" borderId="0" xfId="0" applyFont="1" applyAlignment="1">
      <x:alignment horizontal="left" vertical="center"/>
    </x:xf>
    <x:xf numFmtId="0" fontId="11" fillId="0" borderId="0" xfId="0" applyFont="1" applyAlignment="1">
      <x:alignment horizontal="left" vertical="center"/>
    </x:xf>
    <x:xf numFmtId="49" fontId="4" fillId="0" borderId="0" xfId="0" applyNumberFormat="1" applyFont="1" applyAlignment="1">
      <x:alignment horizontal="left" vertical="center"/>
    </x:xf>
  </x:cellXfs>
  <x:cellStyles count="1">
    <x:cellStyle name="Normal" xfId="0"/>
  </x:cellStyles>
  <x:dxfs count="165">
    <x:dxf>
      <x:font>
        <x:color theme="1"/>
      </x:font>
      <x:numFmt numFmtId="0" formatCode="General"/>
    </x:dxf>
    <x:dxf>
      <x:font>
        <x:color theme="1"/>
      </x:font>
      <x:numFmt numFmtId="0" formatCode="General"/>
    </x:dxf>
    <x:dxf>
      <x:font>
        <x:color theme="1"/>
      </x:font>
    </x:dxf>
    <x:dxf>
      <x:font>
        <x:sz val="11"/>
        <x:color theme="1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sz val="11"/>
      </x:font>
      <x:numFmt numFmtId="0" formatCode="General"/>
    </x:dxf>
    <x:dxf>
      <x:font>
        <x:sz val="11"/>
      </x:font>
      <x:numFmt numFmtId="0" formatCode="General"/>
    </x:dxf>
    <x:dxf>
      <x:font>
        <x:sz val="11"/>
      </x:font>
    </x:dxf>
    <x:dxf>
      <x:font>
        <x:sz val="11"/>
      </x:font>
    </x:dxf>
    <x:dxf>
      <x:font>
        <x:b/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theme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  <x:numFmt numFmtId="0" formatCode="General"/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  <x:numFmt numFmtId="30" formatCode="@"/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color theme="1"/>
      </x:font>
    </x:dxf>
    <x:dxf>
      <x:font>
        <x:sz val="11"/>
        <x:color theme="1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sz val="11"/>
      </x:font>
      <x:numFmt numFmtId="0" formatCode="General"/>
    </x:dxf>
    <x:dxf>
      <x:font>
        <x:sz val="11"/>
      </x:font>
      <x:numFmt numFmtId="0" formatCode="General"/>
    </x:dxf>
    <x:dxf>
      <x:font>
        <x:sz val="11"/>
      </x:font>
    </x:dxf>
    <x:dxf>
      <x:font>
        <x:sz val="11"/>
      </x:font>
    </x:dxf>
    <x:dxf>
      <x:font>
        <x:b/>
        <x:u val="none"/>
        <x:sz val="11"/>
        <x:color auto="1"/>
        <x:name val="Arial"/>
        <x:family val="2"/>
        <x:scheme val="none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color theme="1"/>
      </x:font>
    </x:dxf>
    <x:dxf>
      <x:font>
        <x:sz val="11"/>
        <x:color auto="1"/>
        <x:family val="2"/>
      </x:font>
      <x:numFmt numFmtId="0" formatCode="General"/>
    </x:dxf>
    <x:dxf>
      <x:font>
        <x:u val="none"/>
        <x:sz val="11"/>
        <x:color rgb="FF000000"/>
        <x:name val="Arial"/>
        <x:scheme val="none"/>
      </x:font>
      <x:numFmt numFmtId="30" formatCode="@"/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u val="none"/>
        <x:sz val="10"/>
        <x:color theme="1"/>
        <x:name val="Arial"/>
        <x:scheme val="none"/>
      </x:font>
    </x:dxf>
    <x:dxf>
      <x:font>
        <x:color theme="1"/>
      </x:font>
      <x:numFmt numFmtId="0" formatCode="General"/>
    </x:dxf>
    <x:dxf>
      <x:font>
        <x:color theme="1"/>
      </x:font>
    </x:dxf>
    <x:dxf>
      <x:font>
        <x:sz val="11"/>
        <x:color theme="1"/>
      </x:font>
    </x:dxf>
    <x:dxf>
      <x:font>
        <x:sz val="11"/>
      </x:font>
    </x:dxf>
    <x:dxf>
      <x:font>
        <x:u val="none"/>
        <x:sz val="11"/>
        <x:color rgb="FF000000"/>
        <x:name val="Arial"/>
        <x:scheme val="none"/>
      </x:font>
    </x:dxf>
    <x:dxf>
      <x:font>
        <x:u val="none"/>
        <x:sz val="11"/>
        <x:color rgb="FF000000"/>
        <x:name val="Arial"/>
        <x:scheme val="none"/>
      </x:font>
    </x:dxf>
    <x:dxf>
      <x:font>
        <x:sz val="11"/>
      </x:font>
    </x:dxf>
    <x:dxf>
      <x:font>
        <x:sz val="11"/>
      </x:font>
      <x:numFmt numFmtId="0" formatCode="General"/>
    </x:dxf>
    <x:dxf>
      <x:font>
        <x:sz val="11"/>
      </x:font>
      <x:numFmt numFmtId="0" formatCode="General"/>
    </x:dxf>
    <x:dxf>
      <x:font>
        <x:sz val="11"/>
      </x:font>
    </x:dxf>
    <x:dxf>
      <x:font>
        <x:sz val="11"/>
      </x:font>
    </x:dxf>
    <x:dxf>
      <x:font>
        <x:b/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theme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  <x:numFmt numFmtId="0" formatCode="General"/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  <x:numFmt numFmtId="30" formatCode="@"/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  <x:dxf>
      <x:font>
        <x:u val="none"/>
        <x:sz val="11"/>
        <x:color auto="1"/>
        <x:name val="Arial"/>
        <x:family val="2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a4b280890d480c" /><Relationship Type="http://schemas.openxmlformats.org/officeDocument/2006/relationships/theme" Target="/xl/theme/theme1.xml" Id="R483c69991b214008" /><Relationship Type="http://schemas.openxmlformats.org/officeDocument/2006/relationships/sharedStrings" Target="/xl/sharedStrings.xml" Id="Rbc909e4caf3d4fd5" /><Relationship Type="http://schemas.openxmlformats.org/officeDocument/2006/relationships/worksheet" Target="/xl/worksheets/sheet1.xml" Id="R153f85080c0e4c24" /><Relationship Type="http://schemas.openxmlformats.org/officeDocument/2006/relationships/worksheet" Target="/xl/worksheets/sheet2.xml" Id="R021e8561a09248a0" /><Relationship Type="http://schemas.openxmlformats.org/officeDocument/2006/relationships/worksheet" Target="/xl/worksheets/sheet3.xml" Id="R5e1a94581bdd4999" /></Relationships>
</file>

<file path=xl/tables/table1.xml><?xml version="1.0" encoding="utf-8"?>
<x:table xmlns:x="http://schemas.openxmlformats.org/spreadsheetml/2006/main" id="3" name="Tabell5" displayName="Tabell5" ref="A1:J2">
  <x:tableColumns count="10">
    <x:tableColumn id="1" name="site"/>
    <x:tableColumn id="2" name="intf_prefix"/>
    <x:tableColumn id="3" name="router-id"/>
    <x:tableColumn id="4" name="brukernavn"/>
    <x:tableColumn id="5" name="passord"/>
    <x:tableColumn id="6" name="vty_lines"/>
    <x:tableColumn id="7" name="secret" dataDxfId="95"/>
    <x:tableColumn id="8" name="tacacs_key" dataDxfId="94"/>
    <x:tableColumn id="9" name="DHCP" dataDxfId="93"/>
    <x:tableColumn id="10" name="dns_servers" dataDxfId="92"/>
  </x:tableColumns>
  <x:tableStyleInfo name="TableStyleLight12" showFirstColumn="1" showLastColumn="1" showRowStripes="1" showColumnStripes="0"/>
</x:table>
</file>

<file path=xl/tables/table2.xml><?xml version="1.0" encoding="utf-8"?>
<x:table xmlns:x="http://schemas.openxmlformats.org/spreadsheetml/2006/main" id="5" name="Tabell6" displayName="Tabell6" ref="A4:K8">
  <x:tableColumns count="11">
    <x:tableColumn id="1" name="vrf"/>
    <x:tableColumn id="2" name="vlan"/>
    <x:tableColumn id="3" name="interface"/>
    <x:tableColumn id="4" name="nett id"/>
    <x:tableColumn id="5" name="gateway"/>
    <x:tableColumn id="6" name="mask"/>
    <x:tableColumn id="7" name="address min"/>
    <x:tableColumn id="8" name="address max"/>
    <x:tableColumn id="9" name="antall-res" dataDxfId="91"/>
    <x:tableColumn id="10" name="pri-afxx"/>
    <x:tableColumn id="11" name="pri-1-10"/>
  </x:tableColumns>
  <x:tableStyleInfo name="TableStyleLight12" showFirstColumn="1" showLastColumn="1" showRowStripes="1" showColumnStripes="0"/>
</x:table>
</file>

<file path=xl/tables/table3.xml><?xml version="1.0" encoding="utf-8"?>
<x:table xmlns:x="http://schemas.openxmlformats.org/spreadsheetml/2006/main" id="10" name="Tabell7" displayName="Tabell7" ref="A10:D14">
  <x:tableColumns count="4">
    <x:tableColumn id="1" name="vrf"/>
    <x:tableColumn id="2" name="rt" dataDxfId="90"/>
    <x:tableColumn id="3" name="loopback"/>
    <x:tableColumn id="4" name="laddr">
      <x:calculatedColumnFormula>$A$2&amp;"."&amp;$A$2&amp;"."&amp;$A$2&amp;"."&amp;(C11)</x:calculatedColumnFormula>
    </x:tableColumn>
  </x:tableColumns>
  <x:tableStyleInfo name="TableStyleLight12" showFirstColumn="1" showLastColumn="1" showRowStripes="1" showColumnStripes="0"/>
</x:table>
</file>

<file path=xl/tables/table4.xml><?xml version="1.0" encoding="utf-8"?>
<x:table xmlns:x="http://schemas.openxmlformats.org/spreadsheetml/2006/main" id="12" name="Tabell8" displayName="Tabell8" ref="A16:J19">
  <x:tableColumns count="10">
    <x:tableColumn id="1" name="tunnel id"/>
    <x:tableColumn id="2" name="vrf"/>
    <x:tableColumn id="3" name="ip address">
      <x:calculatedColumnFormula>172&amp;"."&amp;16&amp;"."&amp;0&amp;"."&amp;(H17+$A$2)</x:calculatedColumnFormula>
    </x:tableColumn>
    <x:tableColumn id="4" name="mask"/>
    <x:tableColumn id="5" name="source" dataDxfId="89">
      <x:calculatedColumnFormula>LEFT($C$2,LEN($C$2)-1)&amp;Tabell427[[#This Row],[network-id]]</x:calculatedColumnFormula>
    </x:tableColumn>
    <x:tableColumn id="6" name="destination"/>
    <x:tableColumn id="7" name="gre mode"/>
    <x:tableColumn id="8" name="network-id"/>
    <x:tableColumn id="9" name="ipsec"/>
    <x:tableColumn id="10" name="ipsec key"/>
  </x:tableColumns>
  <x:tableStyleInfo name="TableStyleLight12" showFirstColumn="1" showLastColumn="1" showRowStripes="1" showColumnStripes="0"/>
</x:table>
</file>

<file path=xl/tables/table5.xml><?xml version="1.0" encoding="utf-8"?>
<x:table xmlns:x="http://schemas.openxmlformats.org/spreadsheetml/2006/main" id="20" name="Tabell131921" displayName="Tabell131921" ref="A21:G22" dataDxfId="88">
  <x:tableColumns count="7">
    <x:tableColumn id="1" name="site" dataDxfId="87">
      <x:calculatedColumnFormula>A2</x:calculatedColumnFormula>
    </x:tableColumn>
    <x:tableColumn id="2" name="brukernavn" dataDxfId="86"/>
    <x:tableColumn id="4" name="passord" dataDxfId="85"/>
    <x:tableColumn id="5" name="vty_lines" dataDxfId="84"/>
    <x:tableColumn id="3" name="secret" dataDxfId="83"/>
    <x:tableColumn id="6" name="etherchan_num" dataDxfId="82"/>
    <x:tableColumn id="7" name="span_mode" dataDxfId="81"/>
  </x:tableColumns>
  <x:tableStyleInfo name="TableStyleLight12" showFirstColumn="1" showLastColumn="1" showRowStripes="1" showColumnStripes="0"/>
</x:table>
</file>

<file path=xl/tables/table6.xml><?xml version="1.0" encoding="utf-8"?>
<x:table xmlns:x="http://schemas.openxmlformats.org/spreadsheetml/2006/main" id="4" name="Tabell1618242825" displayName="Tabell1618242825" ref="A24:K26" totalsRowShown="0">
  <x:tableColumns count="11">
    <x:tableColumn id="1" name="SW" dataDxfId="79">
      <x:calculatedColumnFormula>(ROW())-(ROW()-1)</x:calculatedColumnFormula>
    </x:tableColumn>
    <x:tableColumn id="2" name="MGMT Vlan" dataDxfId="78"/>
    <x:tableColumn id="3" name="MGMT ip" dataDxfId="77">
      <x:calculatedColumnFormula>LEFT($G$5,LEN($G$5)-1)&amp;(RIGHT($G$5,1)+A25)</x:calculatedColumnFormula>
    </x:tableColumn>
    <x:tableColumn id="4" name="gateway" dataDxfId="76">
      <x:calculatedColumnFormula>$E$5</x:calculatedColumnFormula>
    </x:tableColumn>
    <x:tableColumn id="5" name="mask" dataDxfId="75">
      <x:calculatedColumnFormula>$F$5</x:calculatedColumnFormula>
    </x:tableColumn>
    <x:tableColumn id="10" name="num_ports_tot" dataDxfId="74"/>
    <x:tableColumn id="11" name="skiped_ports" dataDxfId="73"/>
    <x:tableColumn id="6" name="num_downlink" dataDxfId="72"/>
    <x:tableColumn id="7" name="vlan-antall" dataDxfId="71"/>
    <x:tableColumn id="8" name="intf_prefix" dataDxfId="70"/>
    <x:tableColumn id="9" name="num_port_ledig" dataDxfId="0">
      <x:calculatedColumnFormula>IF($A25=1,F25-G25-H25*$F$22-2-IF(OR($G$22="ERSPAN",$G$22="SPAN",$G$22="RSPAN"),1,0),F25-G25-(1+H25)*$F$22-1)</x:calculatedColumnFormula>
    </x:tableColumn>
  </x:tableColumns>
  <x:tableStyleInfo name="TableStyleLight12" showFirstColumn="1" showLastColumn="1" showRowStripes="1" showColumnStripes="0"/>
</x:table>
</file>

<file path=xl/tables/table7.xml><?xml version="1.0" encoding="utf-8"?>
<x:table xmlns:x="http://schemas.openxmlformats.org/spreadsheetml/2006/main" id="2" name="Tabell1" displayName="Tabell1" ref="A1:I2" dataDxfId="68">
  <x:tableColumns count="9">
    <x:tableColumn id="1" name="site" dataDxfId="66"/>
    <x:tableColumn id="2" name="intf_prefix" dataDxfId="65"/>
    <x:tableColumn id="3" name="router-id" dataDxfId="64"/>
    <x:tableColumn id="4" name="brukernavn" dataDxfId="63"/>
    <x:tableColumn id="5" name="passord" dataDxfId="62"/>
    <x:tableColumn id="6" name="vty_lines" dataDxfId="61"/>
    <x:tableColumn id="7" name="secret" dataDxfId="60"/>
    <x:tableColumn id="8" name="tacacs_key" dataDxfId="59">
      <x:calculatedColumnFormula>'Site 1 (HUB)'!H2</x:calculatedColumnFormula>
    </x:tableColumn>
    <x:tableColumn id="9" name="dns_servers" dataDxfId="58"/>
  </x:tableColumns>
  <x:tableStyleInfo name="TableStyleLight12" showFirstColumn="1" showLastColumn="1" showRowStripes="1" showColumnStripes="0"/>
</x:table>
</file>

<file path=xl/tables/table8.xml><?xml version="1.0" encoding="utf-8"?>
<x:table xmlns:x="http://schemas.openxmlformats.org/spreadsheetml/2006/main" id="13" name="Tabell3" displayName="Tabell3" ref="A10:D14" dataDxfId="56">
  <x:tableColumns count="4">
    <x:tableColumn id="1" name="vrf" dataDxfId="54"/>
    <x:tableColumn id="2" name="rt" dataDxfId="53"/>
    <x:tableColumn id="3" name="loopback" dataDxfId="52"/>
    <x:tableColumn id="4" name="laddr" dataDxfId="51"/>
  </x:tableColumns>
  <x:tableStyleInfo name="TableStyleLight12" showFirstColumn="1" showLastColumn="1" showRowStripes="1" showColumnStripes="0"/>
</x:table>
</file>

<file path=xl/tables/table9.xml><?xml version="1.0" encoding="utf-8"?>
<x:table xmlns:x="http://schemas.openxmlformats.org/spreadsheetml/2006/main" id="15" name="Tabell4" displayName="Tabell4" ref="A16:J19" dataDxfId="49">
  <x:tableColumns count="10">
    <x:tableColumn id="1" name="tunnel id" dataDxfId="47"/>
    <x:tableColumn id="2" name="vrf" dataDxfId="46"/>
    <x:tableColumn id="3" name="ip address" dataDxfId="45">
      <x:calculatedColumnFormula>172&amp;"."&amp;16&amp;"."&amp;0&amp;"."&amp;(H17+$A$2)</x:calculatedColumnFormula>
    </x:tableColumn>
    <x:tableColumn id="4" name="mask" dataDxfId="44"/>
    <x:tableColumn id="5" name="source" dataDxfId="43">
      <x:calculatedColumnFormula>LEFT($C$2,LEN($C$2)-1)&amp;Tabell427[[#This Row],[network-id]]</x:calculatedColumnFormula>
    </x:tableColumn>
    <x:tableColumn id="6" name="destination" dataDxfId="42"/>
    <x:tableColumn id="7" name="gre mode" dataDxfId="41"/>
    <x:tableColumn id="8" name="network-id" dataDxfId="40"/>
    <x:tableColumn id="9" name="ipsec" dataDxfId="39"/>
    <x:tableColumn id="10" name="ipsec key" dataDxfId="38"/>
  </x:tableColumns>
  <x:tableStyleInfo name="TableStyleLight12" showFirstColumn="1" showLastColumn="1" showRowStripes="1" showColumnStripes="0"/>
</x:table>
</file>

<file path=xl/tables/table10.xml><?xml version="1.0" encoding="utf-8"?>
<x:table xmlns:x="http://schemas.openxmlformats.org/spreadsheetml/2006/main" id="29" name="Tabell13192530" displayName="Tabell13192530" ref="A21:G22" dataDxfId="36">
  <x:tableColumns count="7">
    <x:tableColumn id="1" name="site" dataDxfId="34">
      <x:calculatedColumnFormula>A2</x:calculatedColumnFormula>
    </x:tableColumn>
    <x:tableColumn id="4" name="brukernavn" dataDxfId="33"/>
    <x:tableColumn id="5" name="passord" dataDxfId="32"/>
    <x:tableColumn id="3" name="vty_lines" dataDxfId="31"/>
    <x:tableColumn id="2" name="secret" dataDxfId="30"/>
    <x:tableColumn id="6" name="etherchan_num" dataDxfId="29"/>
    <x:tableColumn id="7" name="span_mode" dataDxfId="28"/>
  </x:tableColumns>
  <x:tableStyleInfo name="TableStyleLight12" showFirstColumn="1" showLastColumn="1" showRowStripes="1" showColumnStripes="0"/>
</x:table>
</file>

<file path=xl/tables/table11.xml><?xml version="1.0" encoding="utf-8"?>
<x:table xmlns:x="http://schemas.openxmlformats.org/spreadsheetml/2006/main" id="7" name="Tabell2" displayName="Tabell2" ref="A4:K8" dataDxfId="25">
  <x:tableColumns count="11">
    <x:tableColumn id="1" name="vrf" dataDxfId="23"/>
    <x:tableColumn id="2" name="vlan" dataDxfId="22"/>
    <x:tableColumn id="3" name="interface" dataDxfId="21"/>
    <x:tableColumn id="4" name="nett id" dataDxfId="20"/>
    <x:tableColumn id="5" name="gateway" dataDxfId="19"/>
    <x:tableColumn id="6" name="mask" dataDxfId="18"/>
    <x:tableColumn id="7" name="address min" dataDxfId="17"/>
    <x:tableColumn id="8" name="address max" dataDxfId="16"/>
    <x:tableColumn id="9" name="antall-res" dataDxfId="15"/>
    <x:tableColumn id="10" name="pri-afxx" dataDxfId="14"/>
    <x:tableColumn id="11" name="pri-1-10" dataDxfId="13"/>
  </x:tableColumns>
  <x:tableStyleInfo name="TableStyleLight12" showFirstColumn="1" showLastColumn="1" showRowStripes="1" showColumnStripes="0"/>
</x:table>
</file>

<file path=xl/tables/table12.xml><?xml version="1.0" encoding="utf-8"?>
<x:table xmlns:x="http://schemas.openxmlformats.org/spreadsheetml/2006/main" id="31" name="Tabell161824282532" displayName="Tabell161824282532" ref="A24:K25" totalsRowShown="0">
  <x:tableColumns count="11">
    <x:tableColumn id="1" name="SW" dataDxfId="11">
      <x:calculatedColumnFormula>(ROW())-(ROW()-1)</x:calculatedColumnFormula>
    </x:tableColumn>
    <x:tableColumn id="2" name="MGMT Vlan" dataDxfId="10"/>
    <x:tableColumn id="3" name="MGMT ip" dataDxfId="9">
      <x:calculatedColumnFormula>LEFT($G$5,LEN($G$5)-1)&amp;(RIGHT($G$5,1)+A25)</x:calculatedColumnFormula>
    </x:tableColumn>
    <x:tableColumn id="4" name="gateway" dataDxfId="8">
      <x:calculatedColumnFormula>$E$5</x:calculatedColumnFormula>
    </x:tableColumn>
    <x:tableColumn id="5" name="mask" dataDxfId="7">
      <x:calculatedColumnFormula>$F$5</x:calculatedColumnFormula>
    </x:tableColumn>
    <x:tableColumn id="10" name="num_ports_tot" dataDxfId="6"/>
    <x:tableColumn id="11" name="skiped_ports" dataDxfId="5"/>
    <x:tableColumn id="6" name="num_downlink" dataDxfId="4"/>
    <x:tableColumn id="7" name="vlan-antall" dataDxfId="3"/>
    <x:tableColumn id="8" name="intf_prefix" dataDxfId="2"/>
    <x:tableColumn id="9" name="num_port_ledig" dataDxfId="1">
      <x:calculatedColumnFormula>IF($A25=1,F25-G25-H25*$F$22-2-IF(OR($G$22="ERSPAN",$G$22="SPAN",$G$22="RSPAN"),1,0),F25-G25-(1+H25)*$F$22-1)</x:calculatedColumnFormula>
    </x:tableColumn>
  </x:tableColumns>
  <x:tableStyleInfo name="TableStyleLight12" showFirstColumn="1" showLastColumn="1" showRowStripes="1" showColumnStripes="0"/>
</x:table>
</file>

<file path=xl/tables/table13.xml><?xml version="1.0" encoding="utf-8"?>
<x:table xmlns:x="http://schemas.openxmlformats.org/spreadsheetml/2006/main" id="24" name="Tabell125" displayName="Tabell125" ref="A1:I2" dataDxfId="163">
  <x:tableColumns count="9">
    <x:tableColumn id="1" name="site" dataDxfId="161"/>
    <x:tableColumn id="2" name="intf_prefix" dataDxfId="160"/>
    <x:tableColumn id="3" name="router-id" dataDxfId="159">
      <x:calculatedColumnFormula>A2&amp;"."&amp;A2&amp;"."&amp;A2&amp;".0"</x:calculatedColumnFormula>
    </x:tableColumn>
    <x:tableColumn id="4" name="brukernavn" dataDxfId="158"/>
    <x:tableColumn id="5" name="passord" dataDxfId="157"/>
    <x:tableColumn id="6" name="vty_lines" dataDxfId="156"/>
    <x:tableColumn id="7" name="secret" dataDxfId="155"/>
    <x:tableColumn id="8" name="tacacs_key" dataDxfId="154">
      <x:calculatedColumnFormula>'Site 1 (HUB)'!H2</x:calculatedColumnFormula>
    </x:tableColumn>
    <x:tableColumn id="9" name="dns_servers" dataDxfId="153"/>
  </x:tableColumns>
  <x:tableStyleInfo name="TableStyleLight12" showFirstColumn="1" showLastColumn="1" showRowStripes="1" showColumnStripes="0"/>
</x:table>
</file>

<file path=xl/tables/table14.xml><?xml version="1.0" encoding="utf-8"?>
<x:table xmlns:x="http://schemas.openxmlformats.org/spreadsheetml/2006/main" id="25" name="Tabell326" displayName="Tabell326" ref="A10:D14" dataDxfId="151">
  <x:tableColumns count="4">
    <x:tableColumn id="1" name="vrf" dataDxfId="149"/>
    <x:tableColumn id="2" name="rt" dataDxfId="148"/>
    <x:tableColumn id="3" name="loopback" dataDxfId="147"/>
    <x:tableColumn id="4" name="laddr" dataDxfId="146"/>
  </x:tableColumns>
  <x:tableStyleInfo name="TableStyleLight12" showFirstColumn="1" showLastColumn="1" showRowStripes="1" showColumnStripes="0"/>
</x:table>
</file>

<file path=xl/tables/table15.xml><?xml version="1.0" encoding="utf-8"?>
<x:table xmlns:x="http://schemas.openxmlformats.org/spreadsheetml/2006/main" id="26" name="Tabell427" displayName="Tabell427" ref="A16:J19" dataDxfId="144">
  <x:tableColumns count="10">
    <x:tableColumn id="1" name="tunnel id" dataDxfId="142"/>
    <x:tableColumn id="2" name="vrf" dataDxfId="141"/>
    <x:tableColumn id="3" name="ip address" dataDxfId="140">
      <x:calculatedColumnFormula>172&amp;"."&amp;16&amp;"."&amp;0&amp;"."&amp;(H17+$A$2)</x:calculatedColumnFormula>
    </x:tableColumn>
    <x:tableColumn id="4" name="mask" dataDxfId="139"/>
    <x:tableColumn id="5" name="source" dataDxfId="138">
      <x:calculatedColumnFormula>LEFT($C$2,LEN($C$2)-1)&amp;Tabell427[[#This Row],[network-id]]</x:calculatedColumnFormula>
    </x:tableColumn>
    <x:tableColumn id="6" name="destination" dataDxfId="137"/>
    <x:tableColumn id="7" name="gre mode" dataDxfId="136"/>
    <x:tableColumn id="8" name="network-id" dataDxfId="135"/>
    <x:tableColumn id="9" name="ipsec" dataDxfId="134"/>
    <x:tableColumn id="10" name="ipsec key" dataDxfId="133"/>
  </x:tableColumns>
  <x:tableStyleInfo name="TableStyleLight12" showFirstColumn="1" showLastColumn="1" showRowStripes="1" showColumnStripes="0"/>
</x:table>
</file>

<file path=xl/tables/table16.xml><?xml version="1.0" encoding="utf-8"?>
<x:table xmlns:x="http://schemas.openxmlformats.org/spreadsheetml/2006/main" id="27" name="Tabell1319253028" displayName="Tabell1319253028" ref="A21:G22" dataDxfId="131">
  <x:tableColumns count="7">
    <x:tableColumn id="1" name="site" dataDxfId="129">
      <x:calculatedColumnFormula>A2</x:calculatedColumnFormula>
    </x:tableColumn>
    <x:tableColumn id="4" name="brukernavn" dataDxfId="128"/>
    <x:tableColumn id="5" name="passord" dataDxfId="127"/>
    <x:tableColumn id="3" name="vty_lines" dataDxfId="126"/>
    <x:tableColumn id="2" name="secret" dataDxfId="125"/>
    <x:tableColumn id="6" name="etherchan_num" dataDxfId="124"/>
    <x:tableColumn id="7" name="span_mode" dataDxfId="123"/>
  </x:tableColumns>
  <x:tableStyleInfo name="TableStyleLight12" showFirstColumn="1" showLastColumn="1" showRowStripes="1" showColumnStripes="0"/>
</x:table>
</file>

<file path=xl/tables/table17.xml><?xml version="1.0" encoding="utf-8"?>
<x:table xmlns:x="http://schemas.openxmlformats.org/spreadsheetml/2006/main" id="30" name="Tabell231" displayName="Tabell231" ref="A4:K8" dataDxfId="120">
  <x:tableColumns count="11">
    <x:tableColumn id="1" name="vrf" dataDxfId="118"/>
    <x:tableColumn id="2" name="vlan" dataDxfId="117"/>
    <x:tableColumn id="3" name="interface" dataDxfId="116"/>
    <x:tableColumn id="4" name="nett id" dataDxfId="115"/>
    <x:tableColumn id="5" name="gateway" dataDxfId="114">
      <x:calculatedColumnFormula>LEFT(D5,LEN(D5)-1)&amp;"1"</x:calculatedColumnFormula>
    </x:tableColumn>
    <x:tableColumn id="6" name="mask" dataDxfId="113"/>
    <x:tableColumn id="7" name="address min" dataDxfId="112">
      <x:calculatedColumnFormula>LEFT(D5,LEN(D5)-1)&amp;"1"</x:calculatedColumnFormula>
    </x:tableColumn>
    <x:tableColumn id="8" name="address max" dataDxfId="111">
      <x:calculatedColumnFormula>LEFT(D5,FIND(".",D5,FIND(".",D5)+1)-1)&amp;".255.254"</x:calculatedColumnFormula>
    </x:tableColumn>
    <x:tableColumn id="9" name="antall-res" dataDxfId="110"/>
    <x:tableColumn id="10" name="pri-afxx" dataDxfId="109"/>
    <x:tableColumn id="11" name="pri-1-10" dataDxfId="108"/>
  </x:tableColumns>
  <x:tableStyleInfo name="TableStyleLight12" showFirstColumn="1" showLastColumn="1" showRowStripes="1" showColumnStripes="0"/>
</x:table>
</file>

<file path=xl/tables/table18.xml><?xml version="1.0" encoding="utf-8"?>
<x:table xmlns:x="http://schemas.openxmlformats.org/spreadsheetml/2006/main" id="32" name="Tabell16182428253233" displayName="Tabell16182428253233" ref="A24:K25" totalsRowShown="0">
  <x:tableColumns count="11">
    <x:tableColumn id="1" name="SW" dataDxfId="106">
      <x:calculatedColumnFormula>(ROW())-(ROW()-1)</x:calculatedColumnFormula>
    </x:tableColumn>
    <x:tableColumn id="2" name="MGMT Vlan" dataDxfId="105"/>
    <x:tableColumn id="3" name="MGMT ip" dataDxfId="104">
      <x:calculatedColumnFormula>LEFT($G$5,LEN($G$5)-1)&amp;(RIGHT($G$5,1)+A25)</x:calculatedColumnFormula>
    </x:tableColumn>
    <x:tableColumn id="4" name="gateway" dataDxfId="103">
      <x:calculatedColumnFormula>$E$5</x:calculatedColumnFormula>
    </x:tableColumn>
    <x:tableColumn id="5" name="mask" dataDxfId="102">
      <x:calculatedColumnFormula>$F$5</x:calculatedColumnFormula>
    </x:tableColumn>
    <x:tableColumn id="10" name="num_ports_tot" dataDxfId="101"/>
    <x:tableColumn id="11" name="skiped_ports" dataDxfId="100"/>
    <x:tableColumn id="6" name="num_downlink" dataDxfId="99"/>
    <x:tableColumn id="7" name="vlan-antall" dataDxfId="98"/>
    <x:tableColumn id="8" name="intf_prefix" dataDxfId="97"/>
    <x:tableColumn id="9" name="num_port_ledig" dataDxfId="96">
      <x:calculatedColumnFormula>IF($A25=1,F25-G25-H25*$F$22-2-IF(OR($G$22="ERSPAN",$G$22="SPAN",$G$22="RSPAN"),1,0),F25-G25-(1+H25)*$F$22-1)</x:calculatedColumnFormula>
    </x:tableColumn>
  </x:tableColumns>
  <x:tableStyleInfo name="TableStyleLight12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7737833e83c4af1" /><Relationship Type="http://schemas.openxmlformats.org/officeDocument/2006/relationships/table" Target="/xl/tables/table2.xml" Id="R7996fad1a1a14418" /><Relationship Type="http://schemas.openxmlformats.org/officeDocument/2006/relationships/table" Target="/xl/tables/table3.xml" Id="Ra5732bc85d4b4e03" /><Relationship Type="http://schemas.openxmlformats.org/officeDocument/2006/relationships/table" Target="/xl/tables/table4.xml" Id="R763c9c29fec74f9f" /><Relationship Type="http://schemas.openxmlformats.org/officeDocument/2006/relationships/table" Target="/xl/tables/table5.xml" Id="Rf478305e405946aa" /><Relationship Type="http://schemas.openxmlformats.org/officeDocument/2006/relationships/table" Target="/xl/tables/table6.xml" Id="R847b8e18d1b349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7.xml" Id="R37e031ed14d84a0b" /><Relationship Type="http://schemas.openxmlformats.org/officeDocument/2006/relationships/table" Target="/xl/tables/table8.xml" Id="Ra8f768f23a6246be" /><Relationship Type="http://schemas.openxmlformats.org/officeDocument/2006/relationships/table" Target="/xl/tables/table9.xml" Id="Rb74c0a5bb9b845f2" /><Relationship Type="http://schemas.openxmlformats.org/officeDocument/2006/relationships/table" Target="/xl/tables/table10.xml" Id="R373e6aafa0744f2e" /><Relationship Type="http://schemas.openxmlformats.org/officeDocument/2006/relationships/table" Target="/xl/tables/table11.xml" Id="R8c5ba826149846e9" /><Relationship Type="http://schemas.openxmlformats.org/officeDocument/2006/relationships/table" Target="/xl/tables/table12.xml" Id="Re4ac73de5cb6403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3.xml" Id="Rcaebb79d7c75442a" /><Relationship Type="http://schemas.openxmlformats.org/officeDocument/2006/relationships/table" Target="/xl/tables/table14.xml" Id="Rd71077b72ed7462a" /><Relationship Type="http://schemas.openxmlformats.org/officeDocument/2006/relationships/table" Target="/xl/tables/table15.xml" Id="R76b7e4af08cf4753" /><Relationship Type="http://schemas.openxmlformats.org/officeDocument/2006/relationships/table" Target="/xl/tables/table16.xml" Id="R90dccf0e65454b99" /><Relationship Type="http://schemas.openxmlformats.org/officeDocument/2006/relationships/table" Target="/xl/tables/table17.xml" Id="Rfbad3de9aaf24724" /><Relationship Type="http://schemas.openxmlformats.org/officeDocument/2006/relationships/table" Target="/xl/tables/table18.xml" Id="R9c15c3a1d8cb453a" /></Relationships>
</file>

<file path=xl/worksheets/sheet1.xml><?xml version="1.0" encoding="utf-8"?>
<x:worksheet xmlns:x="http://schemas.openxmlformats.org/spreadsheetml/2006/main">
  <x:sheetFormatPr defaultColWidth="12.5703125" defaultRowHeight="12.75"/>
  <x:cols>
    <x:col min="1" max="1" width="10.7109375" customWidth="1"/>
    <x:col min="2" max="2" width="13" customWidth="1"/>
    <x:col min="3" max="3" width="66" customWidth="1"/>
    <x:col min="4" max="4" width="12.28515625" customWidth="1"/>
    <x:col min="5" max="5" width="66" customWidth="1"/>
    <x:col min="6" max="6" width="15.85546875" customWidth="1"/>
    <x:col min="7" max="7" width="66" customWidth="1"/>
    <x:col min="8" max="8" width="22" hidden="0" customWidth="1"/>
    <x:col min="9" max="9" width="25.5703125" customWidth="1"/>
    <x:col min="10" max="10" width="12.7109375" customWidth="1"/>
    <x:col min="11" max="11" width="39.28515625" customWidth="1"/>
    <x:col min="12" max="12" width="18" hidden="0" customWidth="1"/>
  </x:cols>
  <x:sheetData>
    <x:row r="1" ht="15.7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</x:row>
    <x:row r="2" ht="15.75" customHeight="1">
      <x:c r="A2" s="2">
        <x:v>1</x:v>
      </x:c>
      <x:c r="B2" s="2" t="s">
        <x:v>10</x:v>
      </x:c>
      <x:c r="C2" s="2" t="str">
        <x:f>A2&amp;"."&amp;A2&amp;"."&amp;A2&amp;".0"</x:f>
        <x:v>1.1.1.0</x:v>
      </x:c>
      <x:c r="D2" s="2" t="s">
        <x:v>11</x:v>
      </x:c>
      <x:c r="E2" s="2" t="s">
        <x:v>12</x:v>
      </x:c>
      <x:c r="F2" s="2" t="s">
        <x:v>13</x:v>
      </x:c>
      <x:c r="G2" s="2" t="s">
        <x:v>12</x:v>
      </x:c>
      <x:c r="H2" s="2" t="s">
        <x:v>14</x:v>
      </x:c>
      <x:c r="I2" s="2" t="b">
        <x:v>1</x:v>
      </x:c>
      <x:c r="J2" s="13" t="s">
        <x:v>15</x:v>
      </x:c>
    </x:row>
    <x:row r="3" ht="15.75" customHeight="1">
      <x:c r="A3" s="4"/>
      <x:c r="B3" s="5"/>
      <x:c r="C3" s="4"/>
      <x:c r="D3" s="4"/>
      <x:c r="E3" s="4"/>
      <x:c r="F3" s="4"/>
      <x:c r="G3" s="4"/>
      <x:c r="H3" s="4"/>
    </x:row>
    <x:row r="4" ht="15.75" customHeight="1">
      <x:c r="A4" s="6" t="s">
        <x:v>16</x:v>
      </x:c>
      <x:c r="B4" s="6" t="s">
        <x:v>17</x:v>
      </x:c>
      <x:c r="C4" s="6" t="s">
        <x:v>18</x:v>
      </x:c>
      <x:c r="D4" s="6" t="s">
        <x:v>19</x:v>
      </x:c>
      <x:c r="E4" s="6" t="s">
        <x:v>20</x:v>
      </x:c>
      <x:c r="F4" s="6" t="s">
        <x:v>21</x:v>
      </x:c>
      <x:c r="G4" s="6" t="s">
        <x:v>22</x:v>
      </x:c>
      <x:c r="H4" s="6" t="s">
        <x:v>23</x:v>
      </x:c>
      <x:c r="I4" s="6" t="s">
        <x:v>24</x:v>
      </x:c>
      <x:c r="J4" s="7" t="s">
        <x:v>25</x:v>
      </x:c>
      <x:c r="K4" s="7" t="s">
        <x:v>26</x:v>
      </x:c>
    </x:row>
    <x:row r="5" ht="15.75" customHeight="1">
      <x:c r="A5" s="8" t="s">
        <x:v>27</x:v>
      </x:c>
      <x:c r="B5" s="9">
        <x:v>10</x:v>
      </x:c>
      <x:c r="C5" s="8">
        <x:v>0</x:v>
      </x:c>
      <x:c r="D5" s="8" t="str">
        <x:f>10&amp;"."&amp;(B5+A2)&amp;"."&amp;0&amp;"."&amp;0</x:f>
        <x:v>10.11.0.0</x:v>
      </x:c>
      <x:c r="E5" s="8" t="str">
        <x:f t="shared" ref="E5:E7" si="0">LEFT(D5,LEN(D5)-1)&amp;"1"</x:f>
        <x:v>10.11.0.1</x:v>
      </x:c>
      <x:c r="F5" s="8" t="s">
        <x:v>28</x:v>
      </x:c>
      <x:c r="G5" s="8" t="str">
        <x:f t="shared" ref="G5:G7" si="1">LEFT(D5,LEN(D5)-1)&amp;"1"</x:f>
        <x:v>10.11.0.1</x:v>
      </x:c>
      <x:c r="H5" s="8" t="str">
        <x:f>LEFT(D5,FIND(".",D5,FIND(".",D5)+1)-1)&amp;".255.254"</x:f>
        <x:v>10.11.255.254</x:v>
      </x:c>
      <x:c r="I5" s="8">
        <x:v>10</x:v>
      </x:c>
      <x:c r="J5" s="10">
        <x:v>21</x:v>
      </x:c>
      <x:c r="K5" s="10">
        <x:v>5</x:v>
      </x:c>
    </x:row>
    <x:row r="6" ht="15.75" customHeight="1">
      <x:c r="A6" s="8" t="s">
        <x:v>29</x:v>
      </x:c>
      <x:c r="B6" s="9">
        <x:v>20</x:v>
      </x:c>
      <x:c r="C6" s="8">
        <x:v>0</x:v>
      </x:c>
      <x:c r="D6" s="8" t="str">
        <x:f>10&amp;"."&amp;(B6+A2)&amp;"."&amp;0&amp;"."&amp;0</x:f>
        <x:v>10.21.0.0</x:v>
      </x:c>
      <x:c r="E6" s="8" t="str">
        <x:f t="shared" si="0"/>
        <x:v>10.21.0.1</x:v>
      </x:c>
      <x:c r="F6" s="8" t="s">
        <x:v>28</x:v>
      </x:c>
      <x:c r="G6" s="8" t="str">
        <x:f t="shared" si="1"/>
        <x:v>10.21.0.1</x:v>
      </x:c>
      <x:c r="H6" s="8" t="str">
        <x:f>LEFT(D6,FIND(".",D6,FIND(".",D6)+1)-1)&amp;".255.254"</x:f>
        <x:v>10.21.255.254</x:v>
      </x:c>
      <x:c r="I6" s="8">
        <x:v>10</x:v>
      </x:c>
      <x:c r="J6" s="10">
        <x:v>11</x:v>
      </x:c>
      <x:c r="K6" s="10">
        <x:v>2</x:v>
      </x:c>
    </x:row>
    <x:row r="7" ht="15.75" customHeight="1">
      <x:c r="A7" s="8" t="s">
        <x:v>30</x:v>
      </x:c>
      <x:c r="B7" s="9">
        <x:v>30</x:v>
      </x:c>
      <x:c r="C7" s="8">
        <x:v>0</x:v>
      </x:c>
      <x:c r="D7" s="8" t="str">
        <x:f>10&amp;"."&amp;(B7+A2)&amp;"."&amp;0&amp;"."&amp;0</x:f>
        <x:v>10.31.0.0</x:v>
      </x:c>
      <x:c r="E7" s="8" t="str">
        <x:f t="shared" si="0"/>
        <x:v>10.31.0.1</x:v>
      </x:c>
      <x:c r="F7" s="8" t="s">
        <x:v>28</x:v>
      </x:c>
      <x:c r="G7" s="8" t="str">
        <x:f t="shared" si="1"/>
        <x:v>10.31.0.1</x:v>
      </x:c>
      <x:c r="H7" s="8" t="str">
        <x:f>LEFT(D7,FIND(".",D7,FIND(".",D7)+1)-1)&amp;".255.254"</x:f>
        <x:v>10.31.255.254</x:v>
      </x:c>
      <x:c r="I7" s="8">
        <x:v>10</x:v>
      </x:c>
      <x:c r="J7">
        <x:v>42</x:v>
      </x:c>
      <x:c r="K7">
        <x:v>7</x:v>
      </x:c>
    </x:row>
    <x:row r="8" ht="15.75" customHeight="1">
      <x:c r="A8" s="8" t="s">
        <x:v>31</x:v>
      </x:c>
      <x:c r="B8" s="9">
        <x:v>40</x:v>
      </x:c>
      <x:c r="C8" s="8">
        <x:v>0</x:v>
      </x:c>
      <x:c r="D8" s="8" t="str">
        <x:f>10&amp;"."&amp;(B8+A2)&amp;"."&amp;0&amp;"."&amp;0</x:f>
        <x:v>10.41.0.0</x:v>
      </x:c>
      <x:c r="E8" s="8" t="str">
        <x:f t="shared" ref="E8" si="2">LEFT(D8,LEN(D8)-1)&amp;"1"</x:f>
        <x:v>10.41.0.1</x:v>
      </x:c>
      <x:c r="F8" s="8" t="s">
        <x:v>28</x:v>
      </x:c>
      <x:c r="G8" s="8" t="str">
        <x:f t="shared" ref="G8" si="3">LEFT(D8,LEN(D8)-1)&amp;"1"</x:f>
        <x:v>10.41.0.1</x:v>
      </x:c>
      <x:c r="H8" s="8" t="str">
        <x:f>LEFT(D8,FIND(".",D8,FIND(".",D8)+1)-1)&amp;".255.254"</x:f>
        <x:v>10.41.255.254</x:v>
      </x:c>
      <x:c r="I8" s="8">
        <x:v>10</x:v>
      </x:c>
      <x:c r="J8">
        <x:v>41</x:v>
      </x:c>
      <x:c r="K8">
        <x:v>10</x:v>
      </x:c>
    </x:row>
    <x:row r="9" ht="15.75" customHeight="1">
      <x:c r="A9" s="3"/>
      <x:c r="B9" s="3"/>
    </x:row>
    <x:row r="10" ht="15.75" customHeight="1">
      <x:c r="A10" s="6" t="s">
        <x:v>16</x:v>
      </x:c>
      <x:c r="B10" s="6" t="s">
        <x:v>32</x:v>
      </x:c>
      <x:c r="C10" s="6" t="s">
        <x:v>33</x:v>
      </x:c>
      <x:c r="D10" s="6" t="s">
        <x:v>34</x:v>
      </x:c>
    </x:row>
    <x:row r="11" ht="15.75" customHeight="1">
      <x:c r="A11" s="8" t="s">
        <x:v>27</x:v>
      </x:c>
      <x:c r="B11" s="18" t="s">
        <x:v>35</x:v>
      </x:c>
      <x:c r="C11" s="8">
        <x:v>10</x:v>
      </x:c>
      <x:c r="D11" s="8" t="str">
        <x:f>$A$2&amp;"."&amp;$A$2&amp;"."&amp;$A$2&amp;"."&amp;(C11)</x:f>
        <x:v>1.1.1.10</x:v>
      </x:c>
    </x:row>
    <x:row r="12" ht="15.75" customHeight="1">
      <x:c r="A12" s="8" t="s">
        <x:v>29</x:v>
      </x:c>
      <x:c r="B12" s="18" t="s">
        <x:v>36</x:v>
      </x:c>
      <x:c r="C12" s="8">
        <x:v>20</x:v>
      </x:c>
      <x:c r="D12" s="8" t="str">
        <x:f t="shared" ref="D12:D14" si="4">$A$2&amp;"."&amp;$A$2&amp;"."&amp;$A$2&amp;"."&amp;(C12)</x:f>
        <x:v>1.1.1.20</x:v>
      </x:c>
    </x:row>
    <x:row r="13" ht="15.75" customHeight="1">
      <x:c r="A13" s="8" t="s">
        <x:v>30</x:v>
      </x:c>
      <x:c r="B13" s="18" t="s">
        <x:v>37</x:v>
      </x:c>
      <x:c r="C13" s="8">
        <x:v>30</x:v>
      </x:c>
      <x:c r="D13" s="8" t="str">
        <x:f t="shared" si="4"/>
        <x:v>1.1.1.30</x:v>
      </x:c>
    </x:row>
    <x:row r="14" ht="15.75" customHeight="1">
      <x:c r="A14" s="8" t="s">
        <x:v>31</x:v>
      </x:c>
      <x:c r="B14" s="18" t="s">
        <x:v>38</x:v>
      </x:c>
      <x:c r="C14" s="8">
        <x:v>40</x:v>
      </x:c>
      <x:c r="D14" s="8" t="str">
        <x:f t="shared" si="4"/>
        <x:v>1.1.1.40</x:v>
      </x:c>
    </x:row>
    <x:row r="15" ht="15.75" customHeight="1"/>
    <x:row r="16" ht="15.75" customHeight="1">
      <x:c r="A16" s="6" t="s">
        <x:v>39</x:v>
      </x:c>
      <x:c r="B16" s="6" t="s">
        <x:v>16</x:v>
      </x:c>
      <x:c r="C16" s="6" t="s">
        <x:v>40</x:v>
      </x:c>
      <x:c r="D16" s="6" t="s">
        <x:v>21</x:v>
      </x:c>
      <x:c r="E16" s="6" t="s">
        <x:v>41</x:v>
      </x:c>
      <x:c r="F16" s="6" t="s">
        <x:v>42</x:v>
      </x:c>
      <x:c r="G16" s="6" t="s">
        <x:v>43</x:v>
      </x:c>
      <x:c r="H16" s="1" t="s">
        <x:v>44</x:v>
      </x:c>
      <x:c r="I16" s="1" t="s">
        <x:v>45</x:v>
      </x:c>
      <x:c r="J16" s="1" t="s">
        <x:v>46</x:v>
      </x:c>
    </x:row>
    <x:row r="17" ht="15.75" customHeight="1">
      <x:c r="A17" s="8" t="s">
        <x:v>47</x:v>
      </x:c>
      <x:c r="B17" s="8" t="s">
        <x:v>27</x:v>
      </x:c>
      <x:c r="C17" s="8" t="str">
        <x:f>172&amp;"."&amp;16&amp;"."&amp;0&amp;"."&amp;(H17+$A$2)</x:f>
        <x:v>172.16.0.11</x:v>
      </x:c>
      <x:c r="D17" s="8" t="s">
        <x:v>48</x:v>
      </x:c>
      <x:c r="E17" s="14"/>
      <x:c r="F17" s="8"/>
      <x:c r="G17" s="8" t="s">
        <x:v>49</x:v>
      </x:c>
      <x:c r="H17" s="2">
        <x:v>10</x:v>
      </x:c>
      <x:c r="I17" s="2"/>
      <x:c r="J17" s="2"/>
    </x:row>
    <x:row r="18" ht="15.75" customHeight="1">
      <x:c r="A18" s="8" t="s">
        <x:v>50</x:v>
      </x:c>
      <x:c r="B18" s="8" t="s">
        <x:v>30</x:v>
      </x:c>
      <x:c r="C18" s="8" t="str">
        <x:f t="shared" ref="C18" si="5">172&amp;"."&amp;16&amp;"."&amp;0&amp;"."&amp;(H18+$A$2)</x:f>
        <x:v>172.16.0.31</x:v>
      </x:c>
      <x:c r="D18" s="8" t="s">
        <x:v>48</x:v>
      </x:c>
      <x:c r="E18" s="14"/>
      <x:c r="F18" s="8"/>
      <x:c r="G18" s="8" t="s">
        <x:v>49</x:v>
      </x:c>
      <x:c r="H18" s="2">
        <x:v>30</x:v>
      </x:c>
      <x:c r="I18" s="2" t="b">
        <x:v>1</x:v>
      </x:c>
      <x:c r="J18" s="2"/>
    </x:row>
    <x:row r="19" ht="15.75" customHeight="1">
      <x:c r="A19" s="8" t="s">
        <x:v>51</x:v>
      </x:c>
      <x:c r="B19" s="8" t="s">
        <x:v>31</x:v>
      </x:c>
      <x:c r="C19" s="8" t="str">
        <x:f t="shared" ref="C19" si="6">172&amp;"."&amp;16&amp;"."&amp;0&amp;"."&amp;(H19+$A$2)</x:f>
        <x:v>172.16.0.41</x:v>
      </x:c>
      <x:c r="D19" s="8" t="s">
        <x:v>48</x:v>
      </x:c>
      <x:c r="E19" s="14"/>
      <x:c r="F19" s="8"/>
      <x:c r="G19" s="8" t="s">
        <x:v>49</x:v>
      </x:c>
      <x:c r="H19" s="2">
        <x:v>40</x:v>
      </x:c>
      <x:c r="I19" s="2" t="b">
        <x:v>1</x:v>
      </x:c>
      <x:c r="J19" s="2"/>
    </x:row>
    <x:row r="20" ht="15.75" customHeight="1">
      <x:c r="A20" s="12"/>
      <x:c r="B20" s="12"/>
      <x:c r="C20" s="12"/>
      <x:c r="D20" s="12"/>
      <x:c r="E20" s="12"/>
      <x:c r="F20" s="12"/>
      <x:c r="G20" s="12"/>
    </x:row>
    <x:row r="21" ht="15.75" customHeight="1">
      <x:c r="A21" s="1" t="s">
        <x:v>0</x:v>
      </x:c>
      <x:c r="B21" s="1" t="s">
        <x:v>3</x:v>
      </x:c>
      <x:c r="C21" s="1" t="s">
        <x:v>4</x:v>
      </x:c>
      <x:c r="D21" s="1" t="s">
        <x:v>5</x:v>
      </x:c>
      <x:c r="E21" s="1" t="s">
        <x:v>6</x:v>
      </x:c>
      <x:c r="F21" s="1" t="s">
        <x:v>52</x:v>
      </x:c>
      <x:c r="G21" s="1" t="s">
        <x:v>53</x:v>
      </x:c>
      <x:c r="H21" t="str">
        <x:v>erspan_destination</x:v>
      </x:c>
    </x:row>
    <x:row r="22" ht="28.700000762939453" customHeight="1">
      <x:c r="A22" s="2" t="n">
        <x:f>A2</x:f>
        <x:v>1</x:v>
      </x:c>
      <x:c r="B22" s="2" t="s">
        <x:v>11</x:v>
      </x:c>
      <x:c r="C22" s="2" t="s">
        <x:v>12</x:v>
      </x:c>
      <x:c r="D22" s="2" t="s">
        <x:v>13</x:v>
      </x:c>
      <x:c r="E22" s="2" t="s">
        <x:v>12</x:v>
      </x:c>
      <x:c r="F22" s="2">
        <x:v>2</x:v>
      </x:c>
      <x:c r="G22" s="2" t="s">
        <x:v>54</x:v>
      </x:c>
      <x:c r="H22" t="str"/>
    </x:row>
    <x:row r="23" ht="15.75" customHeight="1"/>
    <x:row r="24" ht="39" customHeight="1">
      <x:c r="A24" s="15" t="s">
        <x:v>55</x:v>
      </x:c>
      <x:c r="B24" s="15" t="s">
        <x:v>56</x:v>
      </x:c>
      <x:c r="C24" s="15" t="s">
        <x:v>57</x:v>
      </x:c>
      <x:c r="D24" s="15" t="s">
        <x:v>20</x:v>
      </x:c>
      <x:c r="E24" s="15" t="s">
        <x:v>21</x:v>
      </x:c>
      <x:c r="F24" s="15" t="s">
        <x:v>58</x:v>
      </x:c>
      <x:c r="G24" s="15" t="s">
        <x:v>59</x:v>
      </x:c>
      <x:c r="H24" s="15" t="s">
        <x:v>60</x:v>
      </x:c>
      <x:c r="I24" s="15" t="s">
        <x:v>61</x:v>
      </x:c>
      <x:c r="J24" s="15" t="s">
        <x:v>1</x:v>
      </x:c>
      <x:c r="K24" s="15" t="s">
        <x:v>62</x:v>
      </x:c>
      <x:c r="L24" t="str">
        <x:v>MONITORING ip</x:v>
      </x:c>
    </x:row>
    <x:row r="25" ht="45" customHeight="1">
      <x:c r="A25" s="8" t="n">
        <x:f>(ROW())-(ROW()-1)</x:f>
        <x:v>1</x:v>
      </x:c>
      <x:c r="B25" s="8">
        <x:v>10</x:v>
      </x:c>
      <x:c r="C25" s="8" t="str">
        <x:f>LEFT($G$5,LEN($G$5)-1)&amp;(RIGHT($G$5,1)+A25)</x:f>
        <x:v>10.11.0.2</x:v>
      </x:c>
      <x:c r="D25" s="8" t="str">
        <x:f>$E$5</x:f>
        <x:v>10.11.0.1</x:v>
      </x:c>
      <x:c r="E25" s="8" t="str">
        <x:f>$F$5</x:f>
        <x:v>255.255.0.0</x:v>
      </x:c>
      <x:c r="F25" s="8">
        <x:v>24</x:v>
      </x:c>
      <x:c r="G25" s="8">
        <x:v>1</x:v>
      </x:c>
      <x:c r="H25" s="11">
        <x:v>3</x:v>
      </x:c>
      <x:c r="I25" s="8" t="s">
        <x:v>63</x:v>
      </x:c>
      <x:c r="J25" s="2" t="s">
        <x:v>10</x:v>
      </x:c>
      <x:c r="K25" s="2" t="n">
        <x:f t="shared" ref="K25:K26" si="7">IF($A25=1,F25-G25-H25*$F$22-2-IF(OR(UPPER($G$22)="SPAN",UPPER($G$22)="RSPAN"),1,0),F25-G25-(1+H25)*$F$22-1)</x:f>
        <x:v>15</x:v>
      </x:c>
    </x:row>
    <x:row r="26" ht="15.75" customHeight="1">
      <x:c r="A26" s="17">
        <x:v>2</x:v>
      </x:c>
      <x:c r="B26" s="17">
        <x:v>10</x:v>
      </x:c>
      <x:c r="C26" s="17" t="str">
        <x:f>LEFT($G$5,LEN($G$5)-1)&amp;(RIGHT($G$5,1)+A26)</x:f>
        <x:v>10.11.0.3</x:v>
      </x:c>
      <x:c r="D26" s="17" t="str">
        <x:f>$E$5</x:f>
        <x:v>10.11.0.1</x:v>
      </x:c>
      <x:c r="E26" s="17" t="str">
        <x:f>$F$5</x:f>
        <x:v>255.255.0.0</x:v>
      </x:c>
      <x:c r="F26" s="17">
        <x:v>24</x:v>
      </x:c>
      <x:c r="G26" s="17">
        <x:v>1</x:v>
      </x:c>
      <x:c r="H26" s="17">
        <x:v>0</x:v>
      </x:c>
      <x:c r="I26" s="16" t="s">
        <x:v>63</x:v>
      </x:c>
      <x:c r="J26" s="13" t="s">
        <x:v>10</x:v>
      </x:c>
      <x:c r="K26" s="2" t="n">
        <x:f t="shared" si="7">IF($A26=1,F26-G26-H26*$F$22-2-IF(OR(UPPER($G$22)="SPAN",UPPER($G$22)="RSPAN"),1,0),F26-G26-(1+H26)*$F$22-1)</x:f>
        <x:v>20</x:v>
      </x:c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  <x:row r="1001" ht="15.75" customHeight="1"/>
  </x:sheetData>
  <x:dataValidations count="2">
    <x:dataValidation type="custom" allowBlank="1" showInputMessage="1" showErrorMessage="1" sqref="I25:I26">
      <x:formula1>IF(I25="",TRUE,SUM(--_xlfn.TEXTAFTER(_xlfn.TEXTSPLIT(I25,"-"),"."))&lt;=K25)</x:formula1>
    </x:dataValidation>
    <x:dataValidation type="list" sqref="G22">
      <x:formula1>"SPAN,RSPAN,ERSPAN"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77737833e83c4af1"/>
    <x:tablePart xmlns:r="http://schemas.openxmlformats.org/officeDocument/2006/relationships" r:id="R7996fad1a1a14418"/>
    <x:tablePart xmlns:r="http://schemas.openxmlformats.org/officeDocument/2006/relationships" r:id="Ra5732bc85d4b4e03"/>
    <x:tablePart xmlns:r="http://schemas.openxmlformats.org/officeDocument/2006/relationships" r:id="R763c9c29fec74f9f"/>
    <x:tablePart xmlns:r="http://schemas.openxmlformats.org/officeDocument/2006/relationships" r:id="Rf478305e405946aa"/>
    <x:tablePart xmlns:r="http://schemas.openxmlformats.org/officeDocument/2006/relationships" r:id="R847b8e18d1b34906"/>
  </x:tableParts>
</x:worksheet>
</file>

<file path=xl/worksheets/sheet2.xml><?xml version="1.0" encoding="utf-8"?>
<x:worksheet xmlns:x="http://schemas.openxmlformats.org/spreadsheetml/2006/main">
  <x:sheetFormatPr defaultColWidth="12.5703125" defaultRowHeight="14.25"/>
  <x:cols>
    <x:col min="1" max="1" width="10.7109375" style="14" customWidth="1"/>
    <x:col min="2" max="2" width="13" style="14" customWidth="1"/>
    <x:col min="3" max="3" width="75.85546875" style="14" customWidth="1"/>
    <x:col min="4" max="4" width="12.28515625" style="14" customWidth="1"/>
    <x:col min="5" max="5" width="75.85546875" style="14" customWidth="1"/>
    <x:col min="6" max="6" width="16.85546875" style="14" customWidth="1"/>
    <x:col min="7" max="7" width="75.85546875" style="14" customWidth="1"/>
    <x:col min="8" max="8" width="22" style="14" hidden="0" customWidth="1"/>
    <x:col min="9" max="9" width="25.5703125" style="14" customWidth="1"/>
    <x:col min="10" max="10" width="11.28515625" style="14" customWidth="1"/>
    <x:col min="11" max="11" width="16.85546875" style="14" customWidth="1"/>
    <x:col min="12" max="16384" width="12.5703125" style="14" customWidth="0"/>
    <x:col min="12" max="12" width="18" hidden="0" customWidth="1"/>
  </x:cols>
  <x:sheetData>
    <x:row r="1" ht="15.75" customHeight="1">
      <x:c r="A1" s="14" t="s">
        <x:v>0</x:v>
      </x:c>
      <x:c r="B1" s="14" t="s">
        <x:v>1</x:v>
      </x:c>
      <x:c r="C1" s="14" t="s">
        <x:v>2</x:v>
      </x:c>
      <x:c r="D1" s="14" t="s">
        <x:v>3</x:v>
      </x:c>
      <x:c r="E1" s="14" t="s">
        <x:v>4</x:v>
      </x:c>
      <x:c r="F1" s="14" t="s">
        <x:v>5</x:v>
      </x:c>
      <x:c r="G1" s="14" t="s">
        <x:v>6</x:v>
      </x:c>
      <x:c r="H1" s="14" t="s">
        <x:v>7</x:v>
      </x:c>
      <x:c r="I1" s="14" t="s">
        <x:v>9</x:v>
      </x:c>
    </x:row>
    <x:row r="2" ht="15.75" customHeight="1">
      <x:c r="A2" s="14">
        <x:v>2</x:v>
      </x:c>
      <x:c r="B2" s="14" t="s">
        <x:v>10</x:v>
      </x:c>
      <x:c r="C2" s="14" t="str">
        <x:f>A2&amp;"."&amp;A2&amp;"."&amp;A2&amp;".0"</x:f>
        <x:v>2.2.2.0</x:v>
      </x:c>
      <x:c r="D2" s="14" t="s">
        <x:v>11</x:v>
      </x:c>
      <x:c r="E2" s="14" t="s">
        <x:v>12</x:v>
      </x:c>
      <x:c r="F2" s="14" t="s">
        <x:v>13</x:v>
      </x:c>
      <x:c r="G2" s="14" t="s">
        <x:v>12</x:v>
      </x:c>
      <x:c r="H2" s="14" t="str">
        <x:f>'Site 1 (HUB)'!H2</x:f>
        <x:v>TACACS-KEY</x:v>
      </x:c>
      <x:c r="I2" s="14" t="s">
        <x:v>15</x:v>
      </x:c>
    </x:row>
    <x:row r="3" ht="15.75" customHeight="1"/>
    <x:row r="4" ht="31.5" customHeight="1">
      <x:c r="A4" s="14" t="s">
        <x:v>16</x:v>
      </x:c>
      <x:c r="B4" s="14" t="s">
        <x:v>17</x:v>
      </x:c>
      <x:c r="C4" s="14" t="s">
        <x:v>18</x:v>
      </x:c>
      <x:c r="D4" s="14" t="s">
        <x:v>19</x:v>
      </x:c>
      <x:c r="E4" s="14" t="s">
        <x:v>20</x:v>
      </x:c>
      <x:c r="F4" s="14" t="s">
        <x:v>21</x:v>
      </x:c>
      <x:c r="G4" s="14" t="s">
        <x:v>22</x:v>
      </x:c>
      <x:c r="H4" s="14" t="s">
        <x:v>23</x:v>
      </x:c>
      <x:c r="I4" s="14" t="s">
        <x:v>24</x:v>
      </x:c>
      <x:c r="J4" s="14" t="s">
        <x:v>25</x:v>
      </x:c>
      <x:c r="K4" s="14" t="s">
        <x:v>26</x:v>
      </x:c>
    </x:row>
    <x:row r="5" ht="15.75" customHeight="1">
      <x:c r="A5" s="14" t="s">
        <x:v>27</x:v>
      </x:c>
      <x:c r="B5" s="14">
        <x:v>10</x:v>
      </x:c>
      <x:c r="C5" s="14">
        <x:v>0</x:v>
      </x:c>
      <x:c r="D5" s="14" t="str">
        <x:f>10&amp;"."&amp;(B5+A2)&amp;"."&amp;0&amp;"."&amp;0</x:f>
        <x:v>10.12.0.0</x:v>
      </x:c>
      <x:c r="E5" s="14" t="str">
        <x:f t="shared" ref="E5:E8" si="0">LEFT(D5,LEN(D5)-1)&amp;"1"</x:f>
        <x:v>10.12.0.1</x:v>
      </x:c>
      <x:c r="F5" s="14" t="s">
        <x:v>28</x:v>
      </x:c>
      <x:c r="G5" s="14" t="str">
        <x:f t="shared" ref="G5:G8" si="1">LEFT(D5,LEN(D5)-1)&amp;"1"</x:f>
        <x:v>10.12.0.1</x:v>
      </x:c>
      <x:c r="H5" s="14" t="str">
        <x:f>LEFT(D5,FIND(".",D5,FIND(".",D5)+1)-1)&amp;".255.254"</x:f>
        <x:v>10.12.255.254</x:v>
      </x:c>
      <x:c r="I5" s="14">
        <x:v>10</x:v>
      </x:c>
      <x:c r="J5" s="14">
        <x:v>21</x:v>
      </x:c>
      <x:c r="K5" s="14">
        <x:v>5</x:v>
      </x:c>
    </x:row>
    <x:row r="6" ht="15.75" customHeight="1">
      <x:c r="A6" s="14" t="s">
        <x:v>29</x:v>
      </x:c>
      <x:c r="B6" s="14">
        <x:v>20</x:v>
      </x:c>
      <x:c r="C6" s="14">
        <x:v>0</x:v>
      </x:c>
      <x:c r="D6" s="14" t="str">
        <x:f>10&amp;"."&amp;(B6+A2)&amp;"."&amp;0&amp;"."&amp;0</x:f>
        <x:v>10.22.0.0</x:v>
      </x:c>
      <x:c r="E6" s="14" t="str">
        <x:f t="shared" si="0"/>
        <x:v>10.22.0.1</x:v>
      </x:c>
      <x:c r="F6" s="14" t="s">
        <x:v>28</x:v>
      </x:c>
      <x:c r="G6" s="14" t="str">
        <x:f t="shared" si="1"/>
        <x:v>10.22.0.1</x:v>
      </x:c>
      <x:c r="H6" s="14" t="str">
        <x:f>LEFT(D6,FIND(".",D6,FIND(".",D6)+1)-1)&amp;".255.254"</x:f>
        <x:v>10.22.255.254</x:v>
      </x:c>
      <x:c r="I6" s="14">
        <x:v>10</x:v>
      </x:c>
      <x:c r="J6" s="14">
        <x:v>11</x:v>
      </x:c>
      <x:c r="K6" s="14">
        <x:v>2</x:v>
      </x:c>
    </x:row>
    <x:row r="7" ht="15.75" customHeight="1">
      <x:c r="A7" s="14" t="s">
        <x:v>30</x:v>
      </x:c>
      <x:c r="B7" s="14">
        <x:v>30</x:v>
      </x:c>
      <x:c r="C7" s="14">
        <x:v>0</x:v>
      </x:c>
      <x:c r="D7" s="14" t="str">
        <x:f>10&amp;"."&amp;(B7+A2)&amp;"."&amp;0&amp;"."&amp;0</x:f>
        <x:v>10.32.0.0</x:v>
      </x:c>
      <x:c r="E7" s="14" t="str">
        <x:f t="shared" si="0"/>
        <x:v>10.32.0.1</x:v>
      </x:c>
      <x:c r="F7" s="14" t="s">
        <x:v>28</x:v>
      </x:c>
      <x:c r="G7" s="14" t="str">
        <x:f t="shared" si="1"/>
        <x:v>10.32.0.1</x:v>
      </x:c>
      <x:c r="H7" s="14" t="str">
        <x:f>LEFT(D7,FIND(".",D7,FIND(".",D7)+1)-1)&amp;".255.254"</x:f>
        <x:v>10.32.255.254</x:v>
      </x:c>
      <x:c r="I7" s="14">
        <x:v>10</x:v>
      </x:c>
      <x:c r="J7" s="14">
        <x:v>42</x:v>
      </x:c>
      <x:c r="K7" s="14">
        <x:v>7</x:v>
      </x:c>
    </x:row>
    <x:row r="8" ht="15.75" customHeight="1">
      <x:c r="A8" s="14" t="s">
        <x:v>31</x:v>
      </x:c>
      <x:c r="B8" s="14">
        <x:v>40</x:v>
      </x:c>
      <x:c r="C8" s="14">
        <x:v>0</x:v>
      </x:c>
      <x:c r="D8" s="14" t="str">
        <x:f>10&amp;"."&amp;(B8+A2)&amp;"."&amp;0&amp;"."&amp;0</x:f>
        <x:v>10.42.0.0</x:v>
      </x:c>
      <x:c r="E8" s="14" t="str">
        <x:f t="shared" si="0"/>
        <x:v>10.42.0.1</x:v>
      </x:c>
      <x:c r="F8" s="14" t="s">
        <x:v>28</x:v>
      </x:c>
      <x:c r="G8" s="14" t="str">
        <x:f t="shared" si="1"/>
        <x:v>10.42.0.1</x:v>
      </x:c>
      <x:c r="H8" s="14" t="str">
        <x:f>LEFT(D8,FIND(".",D8,FIND(".",D8)+1)-1)&amp;".255.254"</x:f>
        <x:v>10.42.255.254</x:v>
      </x:c>
      <x:c r="I8" s="14">
        <x:v>10</x:v>
      </x:c>
      <x:c r="J8" s="14">
        <x:v>41</x:v>
      </x:c>
      <x:c r="K8" s="14">
        <x:v>10</x:v>
      </x:c>
    </x:row>
    <x:row r="9" ht="15.75" customHeight="1"/>
    <x:row r="10" ht="15.75" customHeight="1">
      <x:c r="A10" s="14" t="s">
        <x:v>16</x:v>
      </x:c>
      <x:c r="B10" s="6" t="s">
        <x:v>32</x:v>
      </x:c>
      <x:c r="C10" s="14" t="s">
        <x:v>33</x:v>
      </x:c>
      <x:c r="D10" s="14" t="s">
        <x:v>34</x:v>
      </x:c>
    </x:row>
    <x:row r="11" ht="15.75" customHeight="1">
      <x:c r="A11" s="14" t="s">
        <x:v>27</x:v>
      </x:c>
      <x:c r="B11" s="18" t="s">
        <x:v>35</x:v>
      </x:c>
      <x:c r="C11" s="14">
        <x:v>10</x:v>
      </x:c>
      <x:c r="D11" s="14" t="str">
        <x:f>A2&amp;"."&amp;A2&amp;"."&amp;A2&amp;"."&amp;(C11)</x:f>
        <x:v>2.2.2.10</x:v>
      </x:c>
    </x:row>
    <x:row r="12" ht="15.75" customHeight="1">
      <x:c r="A12" s="14" t="s">
        <x:v>29</x:v>
      </x:c>
      <x:c r="B12" s="18" t="s">
        <x:v>36</x:v>
      </x:c>
      <x:c r="C12" s="14">
        <x:v>20</x:v>
      </x:c>
      <x:c r="D12" s="14" t="str">
        <x:f>A2&amp;"."&amp;A2&amp;"."&amp;A2&amp;"."&amp;(C12)</x:f>
        <x:v>2.2.2.20</x:v>
      </x:c>
    </x:row>
    <x:row r="13" ht="15.75" customHeight="1">
      <x:c r="A13" s="14" t="s">
        <x:v>30</x:v>
      </x:c>
      <x:c r="B13" s="18" t="s">
        <x:v>37</x:v>
      </x:c>
      <x:c r="C13" s="14">
        <x:v>30</x:v>
      </x:c>
      <x:c r="D13" s="14" t="str">
        <x:f>A2&amp;"."&amp;A2&amp;"."&amp;A2&amp;"."&amp;(C13)</x:f>
        <x:v>2.2.2.30</x:v>
      </x:c>
    </x:row>
    <x:row r="14" ht="15.75" customHeight="1">
      <x:c r="A14" s="14" t="s">
        <x:v>31</x:v>
      </x:c>
      <x:c r="B14" s="18" t="s">
        <x:v>38</x:v>
      </x:c>
      <x:c r="C14" s="14">
        <x:v>40</x:v>
      </x:c>
      <x:c r="D14" s="14" t="str">
        <x:f t="shared" ref="D14" si="2">$A$2&amp;"."&amp;$A$2&amp;"."&amp;$A$2&amp;"."&amp;(C14)</x:f>
        <x:v>2.2.2.40</x:v>
      </x:c>
    </x:row>
    <x:row r="15" ht="15.75" customHeight="1"/>
    <x:row r="16" ht="15.75" customHeight="1">
      <x:c r="A16" s="14" t="s">
        <x:v>39</x:v>
      </x:c>
      <x:c r="B16" s="14" t="s">
        <x:v>16</x:v>
      </x:c>
      <x:c r="C16" s="14" t="s">
        <x:v>40</x:v>
      </x:c>
      <x:c r="D16" s="14" t="s">
        <x:v>21</x:v>
      </x:c>
      <x:c r="E16" s="14" t="s">
        <x:v>41</x:v>
      </x:c>
      <x:c r="F16" s="14" t="s">
        <x:v>42</x:v>
      </x:c>
      <x:c r="G16" s="14" t="s">
        <x:v>43</x:v>
      </x:c>
      <x:c r="H16" s="14" t="s">
        <x:v>44</x:v>
      </x:c>
      <x:c r="I16" s="14" t="s">
        <x:v>45</x:v>
      </x:c>
      <x:c r="J16" s="14" t="s">
        <x:v>46</x:v>
      </x:c>
    </x:row>
    <x:row r="17" ht="15.75" customHeight="1">
      <x:c r="A17" s="14" t="s">
        <x:v>47</x:v>
      </x:c>
      <x:c r="B17" s="14" t="s">
        <x:v>27</x:v>
      </x:c>
      <x:c r="C17" s="14" t="str">
        <x:f>172&amp;"."&amp;16&amp;"."&amp;0&amp;"."&amp;(H17+$A$2)</x:f>
        <x:v>172.16.0.12</x:v>
      </x:c>
      <x:c r="D17" s="14" t="s">
        <x:v>48</x:v>
      </x:c>
      <x:c r="E17" s="14"/>
      <x:c r="G17" s="14" t="s">
        <x:v>49</x:v>
      </x:c>
      <x:c r="H17" s="14">
        <x:v>10</x:v>
      </x:c>
      <x:c r="I17" s="14" t="n">
        <x:f t="array" ref="I17">'Site 1 (HUB)'!I17</x:f>
        <x:v>0</x:v>
      </x:c>
    </x:row>
    <x:row r="18" ht="15.75" customHeight="1">
      <x:c r="A18" s="14" t="s">
        <x:v>50</x:v>
      </x:c>
      <x:c r="B18" s="14" t="s">
        <x:v>30</x:v>
      </x:c>
      <x:c r="C18" s="14" t="str">
        <x:f>172&amp;"."&amp;16&amp;"."&amp;0&amp;"."&amp;(H18+$A$2)</x:f>
        <x:v>172.16.0.32</x:v>
      </x:c>
      <x:c r="D18" s="14" t="s">
        <x:v>48</x:v>
      </x:c>
      <x:c r="E18" s="14"/>
      <x:c r="G18" s="14" t="s">
        <x:v>49</x:v>
      </x:c>
      <x:c r="H18" s="14">
        <x:v>30</x:v>
      </x:c>
      <x:c r="I18" s="14" t="b">
        <x:f t="array" ref="I18">'Site 1 (HUB)'!I18</x:f>
        <x:v>1</x:v>
      </x:c>
    </x:row>
    <x:row r="19" ht="15.75" customHeight="1">
      <x:c r="A19" s="14" t="s">
        <x:v>51</x:v>
      </x:c>
      <x:c r="B19" s="14" t="s">
        <x:v>31</x:v>
      </x:c>
      <x:c r="C19" s="14" t="str">
        <x:f t="shared" ref="C19" si="3">172&amp;"."&amp;16&amp;"."&amp;0&amp;"."&amp;(H19+$A$2)</x:f>
        <x:v>172.16.0.42</x:v>
      </x:c>
      <x:c r="D19" s="14" t="s">
        <x:v>48</x:v>
      </x:c>
      <x:c r="E19" s="14"/>
      <x:c r="G19" s="14" t="s">
        <x:v>49</x:v>
      </x:c>
      <x:c r="H19" s="14">
        <x:v>40</x:v>
      </x:c>
      <x:c r="I19" s="14" t="b">
        <x:f>'Site 1 (HUB)'!I19</x:f>
        <x:v>1</x:v>
      </x:c>
    </x:row>
    <x:row r="20" ht="15.75" customHeight="1"/>
    <x:row r="21" ht="16.5" customHeight="1">
      <x:c r="A21" s="14" t="s">
        <x:v>0</x:v>
      </x:c>
      <x:c r="B21" s="14" t="s">
        <x:v>3</x:v>
      </x:c>
      <x:c r="C21" s="14" t="s">
        <x:v>4</x:v>
      </x:c>
      <x:c r="D21" s="14" t="s">
        <x:v>5</x:v>
      </x:c>
      <x:c r="E21" s="14" t="s">
        <x:v>6</x:v>
      </x:c>
      <x:c r="F21" s="14" t="s">
        <x:v>52</x:v>
      </x:c>
      <x:c r="G21" s="1" t="s">
        <x:v>53</x:v>
      </x:c>
      <x:c r="H21" t="str">
        <x:v>erspan_destination</x:v>
      </x:c>
    </x:row>
    <x:row r="22" ht="15.75" customHeight="1">
      <x:c r="A22" s="14" t="n">
        <x:f>A2</x:f>
        <x:v>2</x:v>
      </x:c>
      <x:c r="B22" s="14" t="s">
        <x:v>11</x:v>
      </x:c>
      <x:c r="C22" s="14" t="s">
        <x:v>12</x:v>
      </x:c>
      <x:c r="D22" s="14" t="s">
        <x:v>13</x:v>
      </x:c>
      <x:c r="E22" s="14" t="s">
        <x:v>12</x:v>
      </x:c>
      <x:c r="F22" s="14">
        <x:v>2</x:v>
      </x:c>
      <x:c r="G22" s="2" t="s">
        <x:v>54</x:v>
      </x:c>
      <x:c r="H22" t="str"/>
    </x:row>
    <x:row r="23" ht="15.75" customHeight="1"/>
    <x:row r="24" ht="15.75" customHeight="1">
      <x:c r="A24" s="15" t="s">
        <x:v>55</x:v>
      </x:c>
      <x:c r="B24" s="15" t="s">
        <x:v>56</x:v>
      </x:c>
      <x:c r="C24" s="15" t="s">
        <x:v>57</x:v>
      </x:c>
      <x:c r="D24" s="15" t="s">
        <x:v>20</x:v>
      </x:c>
      <x:c r="E24" s="15" t="s">
        <x:v>21</x:v>
      </x:c>
      <x:c r="F24" s="15" t="s">
        <x:v>58</x:v>
      </x:c>
      <x:c r="G24" s="15" t="s">
        <x:v>59</x:v>
      </x:c>
      <x:c r="H24" s="15" t="s">
        <x:v>60</x:v>
      </x:c>
      <x:c r="I24" s="15" t="s">
        <x:v>61</x:v>
      </x:c>
      <x:c r="J24" s="15" t="s">
        <x:v>1</x:v>
      </x:c>
      <x:c r="K24" s="15" t="s">
        <x:v>62</x:v>
      </x:c>
      <x:c r="L24" t="str">
        <x:v>MONITORING ip</x:v>
      </x:c>
    </x:row>
    <x:row r="25" ht="15.75" customHeight="1">
      <x:c r="A25" s="8" t="n">
        <x:f>(ROW())-(ROW()-1)</x:f>
        <x:v>1</x:v>
      </x:c>
      <x:c r="B25" s="8">
        <x:v>10</x:v>
      </x:c>
      <x:c r="C25" s="8" t="str">
        <x:f>LEFT($G$5,LEN($G$5)-1)&amp;(RIGHT($G$5,1)+A25)</x:f>
        <x:v>10.12.0.2</x:v>
      </x:c>
      <x:c r="D25" s="8" t="str">
        <x:f>$E$5</x:f>
        <x:v>10.12.0.1</x:v>
      </x:c>
      <x:c r="E25" s="8" t="str">
        <x:f>$F$5</x:f>
        <x:v>255.255.0.0</x:v>
      </x:c>
      <x:c r="F25" s="8">
        <x:v>24</x:v>
      </x:c>
      <x:c r="G25" s="8">
        <x:v>1</x:v>
      </x:c>
      <x:c r="H25" s="11">
        <x:v>0</x:v>
      </x:c>
      <x:c r="I25" s="8" t="s">
        <x:v>63</x:v>
      </x:c>
      <x:c r="J25" s="2" t="s">
        <x:v>10</x:v>
      </x:c>
      <x:c r="K25" s="2" t="n">
        <x:f>IF($A25=1,F25-G25-H25*$F$22-2-IF(OR(UPPER($G$22)="SPAN",UPPER($G$22)="RSPAN"),1,0),F25-G25-(1+H25)*$F$22-1)</x:f>
        <x:v>21</x:v>
      </x:c>
    </x:row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</x:sheetData>
  <x:dataValidations count="2">
    <x:dataValidation type="custom" allowBlank="1" showInputMessage="1" showErrorMessage="1" sqref="I25">
      <x:formula1>IF(I25="",TRUE,SUM(--_xlfn.TEXTAFTER(_xlfn.TEXTSPLIT(I25,"-"),"."))&lt;=K25)</x:formula1>
    </x:dataValidation>
    <x:dataValidation type="list" sqref="G22">
      <x:formula1>"SPAN,RSPAN,ERSPAN"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37e031ed14d84a0b"/>
    <x:tablePart xmlns:r="http://schemas.openxmlformats.org/officeDocument/2006/relationships" r:id="Ra8f768f23a6246be"/>
    <x:tablePart xmlns:r="http://schemas.openxmlformats.org/officeDocument/2006/relationships" r:id="Rb74c0a5bb9b845f2"/>
    <x:tablePart xmlns:r="http://schemas.openxmlformats.org/officeDocument/2006/relationships" r:id="R373e6aafa0744f2e"/>
    <x:tablePart xmlns:r="http://schemas.openxmlformats.org/officeDocument/2006/relationships" r:id="R8c5ba826149846e9"/>
    <x:tablePart xmlns:r="http://schemas.openxmlformats.org/officeDocument/2006/relationships" r:id="Re4ac73de5cb64039"/>
  </x:tableParts>
</x:worksheet>
</file>

<file path=xl/worksheets/sheet3.xml><?xml version="1.0" encoding="utf-8"?>
<x:worksheet xmlns:x="http://schemas.openxmlformats.org/spreadsheetml/2006/main">
  <x:sheetFormatPr defaultRowHeight="12.75"/>
  <x:cols>
    <x:col min="1" max="1" width="10.7109375" customWidth="1"/>
    <x:col min="2" max="2" width="13" customWidth="1"/>
    <x:col min="3" max="3" width="75.85546875" customWidth="1"/>
    <x:col min="4" max="4" width="12.28515625" customWidth="1"/>
    <x:col min="5" max="5" width="75.85546875" customWidth="1"/>
    <x:col min="6" max="6" width="16.85546875" customWidth="1"/>
    <x:col min="7" max="7" width="58.7109375" customWidth="1"/>
    <x:col min="8" max="8" width="22" hidden="0" customWidth="1"/>
    <x:col min="9" max="9" width="25.5703125" customWidth="1"/>
    <x:col min="10" max="10" width="11.28515625" customWidth="1"/>
    <x:col min="11" max="11" width="16.85546875" customWidth="1"/>
    <x:col min="12" max="12" width="18" hidden="0" customWidth="1"/>
  </x:cols>
  <x:sheetData>
    <x:row r="1" ht="14.25">
      <x:c r="A1" s="14" t="s">
        <x:v>0</x:v>
      </x:c>
      <x:c r="B1" s="14" t="s">
        <x:v>1</x:v>
      </x:c>
      <x:c r="C1" s="14" t="s">
        <x:v>2</x:v>
      </x:c>
      <x:c r="D1" s="14" t="s">
        <x:v>3</x:v>
      </x:c>
      <x:c r="E1" s="14" t="s">
        <x:v>4</x:v>
      </x:c>
      <x:c r="F1" s="14" t="s">
        <x:v>5</x:v>
      </x:c>
      <x:c r="G1" s="14" t="s">
        <x:v>6</x:v>
      </x:c>
      <x:c r="H1" s="14" t="s">
        <x:v>7</x:v>
      </x:c>
      <x:c r="I1" s="14" t="s">
        <x:v>9</x:v>
      </x:c>
      <x:c r="J1" s="14"/>
      <x:c r="K1" s="14"/>
    </x:row>
    <x:row r="2" ht="14.25">
      <x:c r="A2" s="14">
        <x:v>3</x:v>
      </x:c>
      <x:c r="B2" s="14" t="s">
        <x:v>10</x:v>
      </x:c>
      <x:c r="C2" s="14" t="str">
        <x:f>A2&amp;"."&amp;A2&amp;"."&amp;A2&amp;".0"</x:f>
        <x:v>3.3.3.0</x:v>
      </x:c>
      <x:c r="D2" s="14" t="s">
        <x:v>11</x:v>
      </x:c>
      <x:c r="E2" s="14" t="s">
        <x:v>12</x:v>
      </x:c>
      <x:c r="F2" s="14" t="s">
        <x:v>13</x:v>
      </x:c>
      <x:c r="G2" s="14" t="s">
        <x:v>12</x:v>
      </x:c>
      <x:c r="H2" s="14" t="str">
        <x:f>'Site 1 (HUB)'!H2</x:f>
        <x:v>TACACS-KEY</x:v>
      </x:c>
      <x:c r="I2" s="14" t="s">
        <x:v>15</x:v>
      </x:c>
      <x:c r="J2" s="14"/>
      <x:c r="K2" s="14"/>
    </x:row>
    <x:row r="3" ht="14.25">
      <x:c r="A3" s="14"/>
      <x:c r="B3" s="14"/>
      <x:c r="C3" s="14"/>
      <x:c r="D3" s="14"/>
      <x:c r="E3" s="14"/>
      <x:c r="F3" s="14"/>
      <x:c r="G3" s="14"/>
      <x:c r="H3" s="14"/>
      <x:c r="I3" s="14"/>
      <x:c r="J3" s="14"/>
      <x:c r="K3" s="14"/>
    </x:row>
    <x:row r="4" ht="14.25">
      <x:c r="A4" s="14" t="s">
        <x:v>16</x:v>
      </x:c>
      <x:c r="B4" s="14" t="s">
        <x:v>17</x:v>
      </x:c>
      <x:c r="C4" s="14" t="s">
        <x:v>18</x:v>
      </x:c>
      <x:c r="D4" s="14" t="s">
        <x:v>19</x:v>
      </x:c>
      <x:c r="E4" s="14" t="s">
        <x:v>20</x:v>
      </x:c>
      <x:c r="F4" s="14" t="s">
        <x:v>21</x:v>
      </x:c>
      <x:c r="G4" s="14" t="s">
        <x:v>22</x:v>
      </x:c>
      <x:c r="H4" s="14" t="s">
        <x:v>23</x:v>
      </x:c>
      <x:c r="I4" s="14" t="s">
        <x:v>24</x:v>
      </x:c>
      <x:c r="J4" s="14" t="s">
        <x:v>25</x:v>
      </x:c>
      <x:c r="K4" s="14" t="s">
        <x:v>26</x:v>
      </x:c>
    </x:row>
    <x:row r="5" ht="14.25">
      <x:c r="A5" s="14" t="s">
        <x:v>27</x:v>
      </x:c>
      <x:c r="B5" s="14">
        <x:v>10</x:v>
      </x:c>
      <x:c r="C5" s="14">
        <x:v>0</x:v>
      </x:c>
      <x:c r="D5" s="14" t="str">
        <x:f>10&amp;"."&amp;(B5+A2)&amp;"."&amp;0&amp;"."&amp;0</x:f>
        <x:v>10.13.0.0</x:v>
      </x:c>
      <x:c r="E5" s="14" t="str">
        <x:f t="shared" ref="E5:E8" si="0">LEFT(D5,LEN(D5)-1)&amp;"1"</x:f>
        <x:v>10.13.0.1</x:v>
      </x:c>
      <x:c r="F5" s="14" t="s">
        <x:v>28</x:v>
      </x:c>
      <x:c r="G5" s="14" t="str">
        <x:f t="shared" ref="G5:G8" si="1">LEFT(D5,LEN(D5)-1)&amp;"1"</x:f>
        <x:v>10.13.0.1</x:v>
      </x:c>
      <x:c r="H5" s="14" t="str">
        <x:f>LEFT(D5,FIND(".",D5,FIND(".",D5)+1)-1)&amp;".255.254"</x:f>
        <x:v>10.13.255.254</x:v>
      </x:c>
      <x:c r="I5" s="14">
        <x:v>10</x:v>
      </x:c>
      <x:c r="J5" s="14">
        <x:v>21</x:v>
      </x:c>
      <x:c r="K5" s="14">
        <x:v>5</x:v>
      </x:c>
    </x:row>
    <x:row r="6" ht="14.25">
      <x:c r="A6" s="14" t="s">
        <x:v>29</x:v>
      </x:c>
      <x:c r="B6" s="14">
        <x:v>20</x:v>
      </x:c>
      <x:c r="C6" s="14">
        <x:v>0</x:v>
      </x:c>
      <x:c r="D6" s="14" t="str">
        <x:f>10&amp;"."&amp;(B6+A2)&amp;"."&amp;0&amp;"."&amp;0</x:f>
        <x:v>10.23.0.0</x:v>
      </x:c>
      <x:c r="E6" s="14" t="str">
        <x:f t="shared" si="0"/>
        <x:v>10.23.0.1</x:v>
      </x:c>
      <x:c r="F6" s="14" t="s">
        <x:v>28</x:v>
      </x:c>
      <x:c r="G6" s="14" t="str">
        <x:f t="shared" si="1"/>
        <x:v>10.23.0.1</x:v>
      </x:c>
      <x:c r="H6" s="14" t="str">
        <x:f>LEFT(D6,FIND(".",D6,FIND(".",D6)+1)-1)&amp;".255.254"</x:f>
        <x:v>10.23.255.254</x:v>
      </x:c>
      <x:c r="I6" s="14">
        <x:v>10</x:v>
      </x:c>
      <x:c r="J6" s="14">
        <x:v>11</x:v>
      </x:c>
      <x:c r="K6" s="14">
        <x:v>2</x:v>
      </x:c>
    </x:row>
    <x:row r="7" ht="14.25">
      <x:c r="A7" s="14" t="s">
        <x:v>30</x:v>
      </x:c>
      <x:c r="B7" s="14">
        <x:v>30</x:v>
      </x:c>
      <x:c r="C7" s="14">
        <x:v>0</x:v>
      </x:c>
      <x:c r="D7" s="14" t="str">
        <x:f>10&amp;"."&amp;(B7+A2)&amp;"."&amp;0&amp;"."&amp;0</x:f>
        <x:v>10.33.0.0</x:v>
      </x:c>
      <x:c r="E7" s="14" t="str">
        <x:f t="shared" si="0"/>
        <x:v>10.33.0.1</x:v>
      </x:c>
      <x:c r="F7" s="14" t="s">
        <x:v>28</x:v>
      </x:c>
      <x:c r="G7" s="14" t="str">
        <x:f t="shared" si="1"/>
        <x:v>10.33.0.1</x:v>
      </x:c>
      <x:c r="H7" s="14" t="str">
        <x:f>LEFT(D7,FIND(".",D7,FIND(".",D7)+1)-1)&amp;".255.254"</x:f>
        <x:v>10.33.255.254</x:v>
      </x:c>
      <x:c r="I7" s="14">
        <x:v>10</x:v>
      </x:c>
      <x:c r="J7" s="14">
        <x:v>42</x:v>
      </x:c>
      <x:c r="K7" s="14">
        <x:v>7</x:v>
      </x:c>
    </x:row>
    <x:row r="8" ht="14.25">
      <x:c r="A8" s="14" t="s">
        <x:v>31</x:v>
      </x:c>
      <x:c r="B8" s="14">
        <x:v>40</x:v>
      </x:c>
      <x:c r="C8" s="14">
        <x:v>0</x:v>
      </x:c>
      <x:c r="D8" s="14" t="str">
        <x:f>10&amp;"."&amp;(B8+A2)&amp;"."&amp;0&amp;"."&amp;0</x:f>
        <x:v>10.43.0.0</x:v>
      </x:c>
      <x:c r="E8" s="14" t="str">
        <x:f t="shared" si="0"/>
        <x:v>10.43.0.1</x:v>
      </x:c>
      <x:c r="F8" s="14" t="s">
        <x:v>28</x:v>
      </x:c>
      <x:c r="G8" s="14" t="str">
        <x:f t="shared" si="1"/>
        <x:v>10.43.0.1</x:v>
      </x:c>
      <x:c r="H8" s="14" t="str">
        <x:f>LEFT(D8,FIND(".",D8,FIND(".",D8)+1)-1)&amp;".255.254"</x:f>
        <x:v>10.43.255.254</x:v>
      </x:c>
      <x:c r="I8" s="14">
        <x:v>10</x:v>
      </x:c>
      <x:c r="J8" s="14">
        <x:v>41</x:v>
      </x:c>
      <x:c r="K8" s="14">
        <x:v>10</x:v>
      </x:c>
    </x:row>
    <x:row r="9" ht="14.25">
      <x:c r="A9" s="14"/>
      <x:c r="B9" s="14"/>
      <x:c r="C9" s="14"/>
      <x:c r="D9" s="14"/>
      <x:c r="E9" s="14"/>
      <x:c r="F9" s="14"/>
      <x:c r="G9" s="14"/>
      <x:c r="H9" s="14"/>
      <x:c r="I9" s="14"/>
      <x:c r="J9" s="14"/>
      <x:c r="K9" s="14"/>
    </x:row>
    <x:row r="10" ht="15">
      <x:c r="A10" s="14" t="s">
        <x:v>16</x:v>
      </x:c>
      <x:c r="B10" s="6" t="s">
        <x:v>32</x:v>
      </x:c>
      <x:c r="C10" s="14" t="s">
        <x:v>33</x:v>
      </x:c>
      <x:c r="D10" s="14" t="s">
        <x:v>34</x:v>
      </x:c>
      <x:c r="E10" s="14"/>
      <x:c r="F10" s="14"/>
      <x:c r="G10" s="14"/>
      <x:c r="H10" s="14"/>
      <x:c r="I10" s="14"/>
      <x:c r="J10" s="14"/>
      <x:c r="K10" s="14"/>
      <x:c r="L10" s="14"/>
    </x:row>
    <x:row r="11" ht="14.25">
      <x:c r="A11" s="14" t="s">
        <x:v>27</x:v>
      </x:c>
      <x:c r="B11" s="18" t="s">
        <x:v>35</x:v>
      </x:c>
      <x:c r="C11" s="14">
        <x:v>10</x:v>
      </x:c>
      <x:c r="D11" s="14" t="str">
        <x:f>A2&amp;"."&amp;A2&amp;"."&amp;A2&amp;"."&amp;(C11)</x:f>
        <x:v>3.3.3.10</x:v>
      </x:c>
      <x:c r="E11" s="14"/>
      <x:c r="F11" s="14"/>
      <x:c r="G11" s="14"/>
      <x:c r="H11" s="14"/>
      <x:c r="I11" s="14"/>
      <x:c r="J11" s="14"/>
      <x:c r="K11" s="14"/>
      <x:c r="L11" s="14"/>
    </x:row>
    <x:row r="12" ht="14.25">
      <x:c r="A12" s="14" t="s">
        <x:v>29</x:v>
      </x:c>
      <x:c r="B12" s="18" t="s">
        <x:v>36</x:v>
      </x:c>
      <x:c r="C12" s="14">
        <x:v>20</x:v>
      </x:c>
      <x:c r="D12" s="14" t="str">
        <x:f>A2&amp;"."&amp;A2&amp;"."&amp;A2&amp;"."&amp;(C12)</x:f>
        <x:v>3.3.3.20</x:v>
      </x:c>
      <x:c r="E12" s="14"/>
      <x:c r="F12" s="14"/>
      <x:c r="G12" s="14"/>
      <x:c r="H12" s="14"/>
      <x:c r="I12" s="14"/>
      <x:c r="J12" s="14"/>
      <x:c r="K12" s="14"/>
      <x:c r="L12" s="14"/>
    </x:row>
    <x:row r="13" ht="14.25">
      <x:c r="A13" s="14" t="s">
        <x:v>30</x:v>
      </x:c>
      <x:c r="B13" s="18" t="s">
        <x:v>37</x:v>
      </x:c>
      <x:c r="C13" s="14">
        <x:v>30</x:v>
      </x:c>
      <x:c r="D13" s="14" t="str">
        <x:f>A2&amp;"."&amp;A2&amp;"."&amp;A2&amp;"."&amp;(C13)</x:f>
        <x:v>3.3.3.30</x:v>
      </x:c>
      <x:c r="E13" s="14"/>
      <x:c r="F13" s="14"/>
      <x:c r="G13" s="14"/>
      <x:c r="H13" s="14"/>
      <x:c r="I13" s="14"/>
      <x:c r="J13" s="14"/>
      <x:c r="K13" s="14"/>
      <x:c r="L13" s="14"/>
    </x:row>
    <x:row r="14" ht="14.25">
      <x:c r="A14" s="14" t="s">
        <x:v>31</x:v>
      </x:c>
      <x:c r="B14" s="18" t="s">
        <x:v>38</x:v>
      </x:c>
      <x:c r="C14" s="14">
        <x:v>40</x:v>
      </x:c>
      <x:c r="D14" s="14" t="str">
        <x:f t="shared" ref="D14" si="2">$A$2&amp;"."&amp;$A$2&amp;"."&amp;$A$2&amp;"."&amp;(C14)</x:f>
        <x:v>3.3.3.40</x:v>
      </x:c>
      <x:c r="E14" s="14"/>
      <x:c r="F14" s="14"/>
      <x:c r="G14" s="14"/>
      <x:c r="H14" s="14"/>
      <x:c r="I14" s="14"/>
      <x:c r="J14" s="14"/>
      <x:c r="K14" s="14"/>
      <x:c r="L14" s="14"/>
    </x:row>
    <x:row r="15" ht="14.2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</x:row>
    <x:row r="16" ht="14.25">
      <x:c r="A16" s="14" t="s">
        <x:v>39</x:v>
      </x:c>
      <x:c r="B16" s="14" t="s">
        <x:v>16</x:v>
      </x:c>
      <x:c r="C16" s="14" t="s">
        <x:v>40</x:v>
      </x:c>
      <x:c r="D16" s="14" t="s">
        <x:v>21</x:v>
      </x:c>
      <x:c r="E16" s="14" t="s">
        <x:v>41</x:v>
      </x:c>
      <x:c r="F16" s="14" t="s">
        <x:v>42</x:v>
      </x:c>
      <x:c r="G16" s="14" t="s">
        <x:v>43</x:v>
      </x:c>
      <x:c r="H16" s="14" t="s">
        <x:v>44</x:v>
      </x:c>
      <x:c r="I16" s="14" t="s">
        <x:v>45</x:v>
      </x:c>
      <x:c r="J16" s="14" t="s">
        <x:v>46</x:v>
      </x:c>
      <x:c r="K16" s="14"/>
    </x:row>
    <x:row r="17" ht="14.25">
      <x:c r="A17" s="14" t="s">
        <x:v>47</x:v>
      </x:c>
      <x:c r="B17" s="14" t="s">
        <x:v>27</x:v>
      </x:c>
      <x:c r="C17" s="14" t="str">
        <x:f>172&amp;"."&amp;16&amp;"."&amp;0&amp;"."&amp;(H17+$A$2)</x:f>
        <x:v>172.16.0.13</x:v>
      </x:c>
      <x:c r="D17" s="14" t="s">
        <x:v>48</x:v>
      </x:c>
      <x:c r="E17" s="14"/>
      <x:c r="F17" s="14"/>
      <x:c r="G17" s="14" t="s">
        <x:v>49</x:v>
      </x:c>
      <x:c r="H17" s="14">
        <x:v>10</x:v>
      </x:c>
      <x:c r="I17" s="14" t="n">
        <x:f t="array" ref="I17">'Site 1 (HUB)'!I17</x:f>
        <x:v>0</x:v>
      </x:c>
      <x:c r="J17" s="14"/>
      <x:c r="K17" s="14"/>
    </x:row>
    <x:row r="18" ht="14.25">
      <x:c r="A18" s="14" t="s">
        <x:v>50</x:v>
      </x:c>
      <x:c r="B18" s="14" t="s">
        <x:v>30</x:v>
      </x:c>
      <x:c r="C18" s="14" t="str">
        <x:f>172&amp;"."&amp;16&amp;"."&amp;0&amp;"."&amp;(H18+$A$2)</x:f>
        <x:v>172.16.0.33</x:v>
      </x:c>
      <x:c r="D18" s="14" t="s">
        <x:v>48</x:v>
      </x:c>
      <x:c r="E18" s="14"/>
      <x:c r="F18" s="14"/>
      <x:c r="G18" s="14" t="s">
        <x:v>49</x:v>
      </x:c>
      <x:c r="H18" s="14">
        <x:v>30</x:v>
      </x:c>
      <x:c r="I18" s="14" t="b">
        <x:f t="array" ref="I18">'Site 1 (HUB)'!I18</x:f>
        <x:v>1</x:v>
      </x:c>
      <x:c r="J18" s="14"/>
      <x:c r="K18" s="14"/>
    </x:row>
    <x:row r="19" ht="14.25">
      <x:c r="A19" s="14" t="s">
        <x:v>51</x:v>
      </x:c>
      <x:c r="B19" s="14" t="s">
        <x:v>31</x:v>
      </x:c>
      <x:c r="C19" s="14" t="str">
        <x:f t="shared" ref="C19" si="3">172&amp;"."&amp;16&amp;"."&amp;0&amp;"."&amp;(H19+$A$2)</x:f>
        <x:v>172.16.0.43</x:v>
      </x:c>
      <x:c r="D19" s="14" t="s">
        <x:v>48</x:v>
      </x:c>
      <x:c r="E19" s="14"/>
      <x:c r="F19" s="14"/>
      <x:c r="G19" s="14" t="s">
        <x:v>49</x:v>
      </x:c>
      <x:c r="H19" s="14">
        <x:v>40</x:v>
      </x:c>
      <x:c r="I19" s="14" t="b">
        <x:f>'Site 1 (HUB)'!I19</x:f>
        <x:v>1</x:v>
      </x:c>
      <x:c r="J19" s="14"/>
      <x:c r="K19" s="14"/>
    </x:row>
    <x:row r="20" ht="14.25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</x:row>
    <x:row r="21" ht="14.25">
      <x:c r="A21" s="14" t="s">
        <x:v>0</x:v>
      </x:c>
      <x:c r="B21" s="14" t="s">
        <x:v>3</x:v>
      </x:c>
      <x:c r="C21" s="14" t="s">
        <x:v>4</x:v>
      </x:c>
      <x:c r="D21" s="14" t="s">
        <x:v>5</x:v>
      </x:c>
      <x:c r="E21" s="14" t="s">
        <x:v>6</x:v>
      </x:c>
      <x:c r="F21" s="14" t="s">
        <x:v>52</x:v>
      </x:c>
      <x:c r="G21" s="1" t="s">
        <x:v>53</x:v>
      </x:c>
      <x:c r="H21" s="14" t="str">
        <x:v>erspan_destination</x:v>
      </x:c>
      <x:c r="I21" s="14"/>
      <x:c r="J21" s="14"/>
      <x:c r="K21" s="14"/>
    </x:row>
    <x:row r="22" ht="14.25">
      <x:c r="A22" s="14" t="n">
        <x:f>A2</x:f>
        <x:v>3</x:v>
      </x:c>
      <x:c r="B22" s="14" t="s">
        <x:v>11</x:v>
      </x:c>
      <x:c r="C22" s="14" t="s">
        <x:v>12</x:v>
      </x:c>
      <x:c r="D22" s="14" t="s">
        <x:v>13</x:v>
      </x:c>
      <x:c r="E22" s="14" t="s">
        <x:v>12</x:v>
      </x:c>
      <x:c r="F22" s="14">
        <x:v>2</x:v>
      </x:c>
      <x:c r="G22" s="2" t="s">
        <x:v>54</x:v>
      </x:c>
      <x:c r="H22" s="14" t="str"/>
      <x:c r="I22" s="14"/>
      <x:c r="J22" s="14"/>
      <x:c r="K22" s="14"/>
    </x:row>
    <x:row r="23" ht="14.25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</x:row>
    <x:row r="24" ht="15">
      <x:c r="A24" s="15" t="s">
        <x:v>55</x:v>
      </x:c>
      <x:c r="B24" s="15" t="s">
        <x:v>56</x:v>
      </x:c>
      <x:c r="C24" s="15" t="s">
        <x:v>57</x:v>
      </x:c>
      <x:c r="D24" s="15" t="s">
        <x:v>20</x:v>
      </x:c>
      <x:c r="E24" s="15" t="s">
        <x:v>21</x:v>
      </x:c>
      <x:c r="F24" s="15" t="s">
        <x:v>58</x:v>
      </x:c>
      <x:c r="G24" s="15" t="s">
        <x:v>59</x:v>
      </x:c>
      <x:c r="H24" s="15" t="s">
        <x:v>60</x:v>
      </x:c>
      <x:c r="I24" s="15" t="s">
        <x:v>61</x:v>
      </x:c>
      <x:c r="J24" s="15" t="s">
        <x:v>1</x:v>
      </x:c>
      <x:c r="K24" s="15" t="s">
        <x:v>62</x:v>
      </x:c>
      <x:c r="L24" t="str">
        <x:v>MONITORING ip</x:v>
      </x:c>
    </x:row>
    <x:row r="25" ht="14.25">
      <x:c r="A25" s="8" t="n">
        <x:f>(ROW())-(ROW()-1)</x:f>
        <x:v>1</x:v>
      </x:c>
      <x:c r="B25" s="8">
        <x:v>10</x:v>
      </x:c>
      <x:c r="C25" s="8" t="str">
        <x:f>LEFT($G$5,LEN($G$5)-1)&amp;(RIGHT($G$5,1)+A25)</x:f>
        <x:v>10.13.0.2</x:v>
      </x:c>
      <x:c r="D25" s="8" t="str">
        <x:f>$E$5</x:f>
        <x:v>10.13.0.1</x:v>
      </x:c>
      <x:c r="E25" s="8" t="str">
        <x:f>$F$5</x:f>
        <x:v>255.255.0.0</x:v>
      </x:c>
      <x:c r="F25" s="8">
        <x:v>24</x:v>
      </x:c>
      <x:c r="G25" s="8">
        <x:v>1</x:v>
      </x:c>
      <x:c r="H25" s="11">
        <x:v>0</x:v>
      </x:c>
      <x:c r="I25" s="8" t="s">
        <x:v>63</x:v>
      </x:c>
      <x:c r="J25" s="2" t="s">
        <x:v>10</x:v>
      </x:c>
      <x:c r="K25" s="2" t="n">
        <x:f>IF($A25=1,F25-G25-H25*$F$22-2-IF(OR(UPPER($G$22)="SPAN",UPPER($G$22)="RSPAN"),1,0),F25-G25-(1+H25)*$F$22-1)</x:f>
        <x:v>21</x:v>
      </x:c>
    </x:row>
    <x:row r="26" ht="14.25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</x:row>
  </x:sheetData>
  <x:dataValidations count="2">
    <x:dataValidation type="custom" allowBlank="1" showInputMessage="1" showErrorMessage="1" sqref="I25">
      <x:formula1>IF(I25="",TRUE,SUM(--_xlfn.TEXTAFTER(_xlfn.TEXTSPLIT(I25,"-"),"."))&lt;=K25)</x:formula1>
    </x:dataValidation>
    <x:dataValidation type="list" sqref="G22">
      <x:formula1>"SPAN,RSPAN,ERSPAN"</x:formula1>
    </x:dataValidation>
  </x:dataValidations>
  <x:pageMargins left="0.7" right="0.7" top="0.75" bottom="0.75" header="0.3" footer="0.3"/>
  <x:tableParts count="6">
    <x:tablePart xmlns:r="http://schemas.openxmlformats.org/officeDocument/2006/relationships" r:id="Rcaebb79d7c75442a"/>
    <x:tablePart xmlns:r="http://schemas.openxmlformats.org/officeDocument/2006/relationships" r:id="Rd71077b72ed7462a"/>
    <x:tablePart xmlns:r="http://schemas.openxmlformats.org/officeDocument/2006/relationships" r:id="R76b7e4af08cf4753"/>
    <x:tablePart xmlns:r="http://schemas.openxmlformats.org/officeDocument/2006/relationships" r:id="R90dccf0e65454b99"/>
    <x:tablePart xmlns:r="http://schemas.openxmlformats.org/officeDocument/2006/relationships" r:id="Rfbad3de9aaf24724"/>
    <x:tablePart xmlns:r="http://schemas.openxmlformats.org/officeDocument/2006/relationships" r:id="R9c15c3a1d8cb453a"/>
  </x:tableParts>
</x:worksheet>
</file>