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473C2841-B1B3-4718-9250-752490D28F4E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1" l="1"/>
  <c r="K26" i="1"/>
  <c r="E26" i="1"/>
  <c r="E25" i="4"/>
  <c r="A25" i="4"/>
  <c r="E25" i="2"/>
  <c r="A25" i="2"/>
  <c r="K25" i="2" s="1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D8" i="4"/>
  <c r="H8" i="4" s="1"/>
  <c r="D7" i="4"/>
  <c r="H7" i="4" s="1"/>
  <c r="D6" i="4"/>
  <c r="H6" i="4" s="1"/>
  <c r="D5" i="4"/>
  <c r="H5" i="4" s="1"/>
  <c r="H2" i="4"/>
  <c r="C2" i="4"/>
  <c r="E18" i="4" s="1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D8" i="2"/>
  <c r="G8" i="2" s="1"/>
  <c r="D7" i="2"/>
  <c r="E7" i="2" s="1"/>
  <c r="D6" i="2"/>
  <c r="E6" i="2" s="1"/>
  <c r="D5" i="2"/>
  <c r="E5" i="2" s="1"/>
  <c r="D25" i="2" s="1"/>
  <c r="H2" i="2"/>
  <c r="C2" i="2"/>
  <c r="E19" i="2" s="1"/>
  <c r="E25" i="1"/>
  <c r="A25" i="1"/>
  <c r="A22" i="1"/>
  <c r="C19" i="1"/>
  <c r="C18" i="1"/>
  <c r="C17" i="1"/>
  <c r="D14" i="1"/>
  <c r="D13" i="1"/>
  <c r="D12" i="1"/>
  <c r="D11" i="1"/>
  <c r="D8" i="1"/>
  <c r="E8" i="1" s="1"/>
  <c r="D7" i="1"/>
  <c r="E7" i="1" s="1"/>
  <c r="H6" i="1"/>
  <c r="G6" i="1"/>
  <c r="D6" i="1"/>
  <c r="E6" i="1" s="1"/>
  <c r="D5" i="1"/>
  <c r="G5" i="1" s="1"/>
  <c r="C25" i="1" s="1"/>
  <c r="C2" i="1"/>
  <c r="E17" i="1" s="1"/>
  <c r="G6" i="2" l="1"/>
  <c r="H5" i="2"/>
  <c r="K25" i="4"/>
  <c r="H6" i="2"/>
  <c r="E18" i="2"/>
  <c r="G5" i="2"/>
  <c r="C25" i="2" s="1"/>
  <c r="E19" i="1"/>
  <c r="G7" i="1"/>
  <c r="H7" i="1"/>
  <c r="C26" i="1"/>
  <c r="E7" i="4"/>
  <c r="G7" i="4"/>
  <c r="G8" i="4"/>
  <c r="E8" i="4"/>
  <c r="E19" i="4"/>
  <c r="E5" i="4"/>
  <c r="D25" i="4" s="1"/>
  <c r="E6" i="4"/>
  <c r="E17" i="4"/>
  <c r="G5" i="4"/>
  <c r="C25" i="4" s="1"/>
  <c r="G6" i="4"/>
  <c r="E18" i="1"/>
  <c r="E17" i="2"/>
  <c r="G7" i="2"/>
  <c r="H8" i="1"/>
  <c r="H7" i="2"/>
  <c r="G8" i="1"/>
  <c r="E5" i="1"/>
  <c r="H5" i="1"/>
  <c r="H8" i="2"/>
  <c r="E8" i="2"/>
  <c r="D25" i="1" l="1"/>
  <c r="D26" i="1"/>
</calcChain>
</file>

<file path=xl/sharedStrings.xml><?xml version="1.0" encoding="utf-8"?>
<sst xmlns="http://schemas.openxmlformats.org/spreadsheetml/2006/main" count="280" uniqueCount="63">
  <si>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</si>
  <si>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</si>
  <si>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</si>
  <si>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</si>
  <si>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</si>
  <si>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</si>
  <si>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</si>
  <si>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</si>
  <si>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</si>
  <si>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g0/</t>
  </si>
  <si>
    <t>admin</t>
  </si>
  <si>
    <t>$9$0nNdTjfcaOQFlP$4VgON16XmZXlfGr4BcOzEN7OoRxfPIAcXDQ0afwx67k</t>
  </si>
  <si>
    <t>0 - 15</t>
  </si>
  <si>
    <t>TACACS-KEY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</si>
  <si>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</si>
  <si>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</si>
  <si>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</si>
  <si>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</si>
  <si>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</si>
  <si>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</si>
  <si>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</si>
  <si>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</si>
  <si>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</si>
  <si>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</si>
  <si>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</si>
  <si>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</si>
  <si>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</si>
  <si>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</si>
  <si>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</si>
  <si>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</si>
  <si>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</si>
  <si>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</si>
  <si>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</si>
  <si>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</si>
  <si>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</si>
  <si>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</si>
  <si>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</si>
  <si>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</si>
  <si>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</si>
  <si>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</si>
  <si>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</si>
  <si>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</si>
  <si>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</si>
  <si>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</si>
  <si>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</si>
  <si>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</si>
  <si>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</si>
  <si>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</si>
  <si>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</si>
  <si>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</si>
  <si>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</si>
  <si>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</si>
  <si>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</si>
  <si>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</si>
  <si>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dns_servers</t>
  </si>
  <si>
    <t>192.168.255.1</t>
  </si>
  <si>
    <t>etherchan_num</t>
  </si>
  <si>
    <t>span_port</t>
  </si>
  <si>
    <t>rt</t>
  </si>
  <si>
    <t>1337:10</t>
  </si>
  <si>
    <t>1337:20</t>
  </si>
  <si>
    <t>1337:30</t>
  </si>
  <si>
    <t>1337:40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</si>
</sst>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color theme="1"/>
      </font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1" defaultTableStyle="TableStyleMedium2" defaultPivotStyle="PivotStyleLight16">
    <tableStyle name="Table Style 1" pivot="0" count="0" xr9:uid="{3896F4F4-B33D-4D2A-9235-AB6CC946405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64"/>
    <tableColumn id="8" xr3:uid="{00000000-0010-0000-0000-000008000000}" name="tacacs_key" dataDxfId="163"/>
    <tableColumn id="9" xr3:uid="{00000000-0010-0000-0000-000009000000}" name="DHCP" dataDxfId="162"/>
    <tableColumn id="10" xr3:uid="{B5E168AC-AF43-4637-AE64-122A38B00215}" name="dns_servers" dataDxfId="161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60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84DE2886-BEBC-478D-A126-1D1701C2FABA}" name="rt" dataDxfId="2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159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158">
  <tableColumns count="7">
    <tableColumn id="1" xr3:uid="{00000000-0010-0000-0400-000001000000}" name="site" dataDxfId="157">
      <calculatedColumnFormula>A2</calculatedColumnFormula>
    </tableColumn>
    <tableColumn id="2" xr3:uid="{00000000-0010-0000-0400-000002000000}" name="brukernavn" dataDxfId="156"/>
    <tableColumn id="4" xr3:uid="{00000000-0010-0000-0400-000004000000}" name="passord" dataDxfId="155"/>
    <tableColumn id="5" xr3:uid="{00000000-0010-0000-0400-000005000000}" name="vty_lines" dataDxfId="154"/>
    <tableColumn id="3" xr3:uid="{00000000-0010-0000-0400-000003000000}" name="secret" dataDxfId="153"/>
    <tableColumn id="6" xr3:uid="{00000000-0010-0000-0400-000006000000}" name="etherchan_num" dataDxfId="152"/>
    <tableColumn id="7" xr3:uid="{2F89DC28-B462-4A4B-9338-E6327171D3B6}" name="span_port" dataDxfId="151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K26" totalsRowShown="0" headerRowDxfId="150">
  <tableColumns count="11">
    <tableColumn id="1" xr3:uid="{00000000-0010-0000-0500-000001000000}" name="SW" dataDxfId="149">
      <calculatedColumnFormula>(ROW())-(ROW()-1)</calculatedColumnFormula>
    </tableColumn>
    <tableColumn id="2" xr3:uid="{00000000-0010-0000-0500-000002000000}" name="MGMT Vlan" dataDxfId="148"/>
    <tableColumn id="3" xr3:uid="{00000000-0010-0000-0500-000003000000}" name="MGMT ip" dataDxfId="147">
      <calculatedColumnFormula>LEFT($G$5,LEN($G$5)-1)&amp;(RIGHT($G$5,1)+A25)</calculatedColumnFormula>
    </tableColumn>
    <tableColumn id="4" xr3:uid="{00000000-0010-0000-0500-000004000000}" name="gateway" dataDxfId="146">
      <calculatedColumnFormula>$E$5</calculatedColumnFormula>
    </tableColumn>
    <tableColumn id="5" xr3:uid="{00000000-0010-0000-0500-000005000000}" name="mask" dataDxfId="145">
      <calculatedColumnFormula>$F$5</calculatedColumnFormula>
    </tableColumn>
    <tableColumn id="10" xr3:uid="{00000000-0010-0000-0500-00000A000000}" name="num_ports_tot" dataDxfId="144"/>
    <tableColumn id="11" xr3:uid="{00000000-0010-0000-0500-00000B000000}" name="skiped_ports" dataDxfId="143"/>
    <tableColumn id="6" xr3:uid="{00000000-0010-0000-0500-000006000000}" name="num_downlink" dataDxfId="142"/>
    <tableColumn id="7" xr3:uid="{00000000-0010-0000-0500-000007000000}" name="vlan-antall" dataDxfId="141"/>
    <tableColumn id="8" xr3:uid="{00000000-0010-0000-0500-000008000000}" name="intf_prefix" dataDxfId="140"/>
    <tableColumn id="9" xr3:uid="{00000000-0010-0000-0500-000009000000}" name="num_port_ledig" dataDxfId="139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headerRowDxfId="138" dataDxfId="137" totalsRowDxfId="136">
  <tableColumns count="9">
    <tableColumn id="1" xr3:uid="{00000000-0010-0000-0600-000001000000}" name="site" dataDxfId="135"/>
    <tableColumn id="2" xr3:uid="{00000000-0010-0000-0600-000002000000}" name="intf_prefix" dataDxfId="134"/>
    <tableColumn id="3" xr3:uid="{00000000-0010-0000-0600-000003000000}" name="router-id" dataDxfId="133"/>
    <tableColumn id="4" xr3:uid="{00000000-0010-0000-0600-000004000000}" name="brukernavn" dataDxfId="132"/>
    <tableColumn id="5" xr3:uid="{00000000-0010-0000-0600-000005000000}" name="passord" dataDxfId="131"/>
    <tableColumn id="6" xr3:uid="{00000000-0010-0000-0600-000006000000}" name="vty_lines" dataDxfId="130"/>
    <tableColumn id="7" xr3:uid="{00000000-0010-0000-0600-000007000000}" name="secret" dataDxfId="129"/>
    <tableColumn id="8" xr3:uid="{00000000-0010-0000-0600-000008000000}" name="tacacs_key" dataDxfId="128">
      <calculatedColumnFormula>'Site 1 (HUB)'!H2</calculatedColumnFormula>
    </tableColumn>
    <tableColumn id="9" xr3:uid="{A5DE2194-7404-46E4-B6C2-ABF2C830FF23}" name="dns_servers" dataDxfId="127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headerRowDxfId="126" dataDxfId="125" totalsRowDxfId="124">
  <tableColumns count="4">
    <tableColumn id="1" xr3:uid="{00000000-0010-0000-0700-000001000000}" name="vrf" dataDxfId="123"/>
    <tableColumn id="2" xr3:uid="{073AEF7E-35F4-47BE-A04E-55474C09C0B3}" name="rt" dataDxfId="1"/>
    <tableColumn id="3" xr3:uid="{00000000-0010-0000-0700-000003000000}" name="loopback" dataDxfId="122"/>
    <tableColumn id="4" xr3:uid="{00000000-0010-0000-0700-000004000000}" name="laddr" dataDxfId="121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headerRowDxfId="120" dataDxfId="119" totalsRowDxfId="118">
  <tableColumns count="10">
    <tableColumn id="1" xr3:uid="{00000000-0010-0000-0800-000001000000}" name="tunnel id" dataDxfId="117"/>
    <tableColumn id="2" xr3:uid="{00000000-0010-0000-0800-000002000000}" name="vrf" dataDxfId="116"/>
    <tableColumn id="3" xr3:uid="{00000000-0010-0000-0800-000003000000}" name="ip address" dataDxfId="115">
      <calculatedColumnFormula>172&amp;"."&amp;16&amp;"."&amp;0&amp;"."&amp;(H17+$A$2)</calculatedColumnFormula>
    </tableColumn>
    <tableColumn id="4" xr3:uid="{00000000-0010-0000-0800-000004000000}" name="mask" dataDxfId="114"/>
    <tableColumn id="5" xr3:uid="{00000000-0010-0000-0800-000005000000}" name="source" dataDxfId="113">
      <calculatedColumnFormula>$C$2</calculatedColumnFormula>
    </tableColumn>
    <tableColumn id="6" xr3:uid="{00000000-0010-0000-0800-000006000000}" name="destination" dataDxfId="112"/>
    <tableColumn id="7" xr3:uid="{00000000-0010-0000-0800-000007000000}" name="gre mode" dataDxfId="111"/>
    <tableColumn id="8" xr3:uid="{00000000-0010-0000-0800-000008000000}" name="network-id" dataDxfId="110"/>
    <tableColumn id="9" xr3:uid="{00000000-0010-0000-0800-000009000000}" name="ipsec" dataDxfId="109"/>
    <tableColumn id="10" xr3:uid="{00000000-0010-0000-0800-00000A000000}" name="ipsec key" dataDxfId="108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headerRowDxfId="107" dataDxfId="106" totalsRowDxfId="105">
  <tableColumns count="7">
    <tableColumn id="1" xr3:uid="{00000000-0010-0000-0900-000001000000}" name="site" dataDxfId="104">
      <calculatedColumnFormula>A2</calculatedColumnFormula>
    </tableColumn>
    <tableColumn id="4" xr3:uid="{00000000-0010-0000-0900-000004000000}" name="brukernavn" dataDxfId="103"/>
    <tableColumn id="5" xr3:uid="{00000000-0010-0000-0900-000005000000}" name="passord" dataDxfId="102"/>
    <tableColumn id="3" xr3:uid="{00000000-0010-0000-0900-000003000000}" name="vty_lines" dataDxfId="101"/>
    <tableColumn id="2" xr3:uid="{00000000-0010-0000-0900-000002000000}" name="secret" dataDxfId="100"/>
    <tableColumn id="6" xr3:uid="{6E1C64EA-E908-43A5-A19B-99C374EB85DA}" name="etherchan_num" dataDxfId="99"/>
    <tableColumn id="7" xr3:uid="{F98D4D3D-F93C-49B0-A82E-E7735EE28F3A}" name="span_port" dataDxfId="98" totalsRowDxfId="97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2" displayName="Tabell2" ref="A4:K8" headerRowDxfId="96" dataDxfId="95" totalsRowDxfId="94">
  <tableColumns count="11">
    <tableColumn id="1" xr3:uid="{00000000-0010-0000-0B00-000001000000}" name="vrf" dataDxfId="93"/>
    <tableColumn id="2" xr3:uid="{00000000-0010-0000-0B00-000002000000}" name="vlan" dataDxfId="92"/>
    <tableColumn id="3" xr3:uid="{00000000-0010-0000-0B00-000003000000}" name="interface" dataDxfId="91"/>
    <tableColumn id="4" xr3:uid="{00000000-0010-0000-0B00-000004000000}" name="nett id" dataDxfId="90"/>
    <tableColumn id="5" xr3:uid="{00000000-0010-0000-0B00-000005000000}" name="gateway" dataDxfId="89"/>
    <tableColumn id="6" xr3:uid="{00000000-0010-0000-0B00-000006000000}" name="mask" dataDxfId="88"/>
    <tableColumn id="7" xr3:uid="{00000000-0010-0000-0B00-000007000000}" name="address min" dataDxfId="87"/>
    <tableColumn id="8" xr3:uid="{00000000-0010-0000-0B00-000008000000}" name="address max" dataDxfId="86"/>
    <tableColumn id="9" xr3:uid="{00000000-0010-0000-0B00-000009000000}" name="antall-res" dataDxfId="85"/>
    <tableColumn id="10" xr3:uid="{00000000-0010-0000-0B00-00000A000000}" name="pri-afxx" dataDxfId="84"/>
    <tableColumn id="11" xr3:uid="{00000000-0010-0000-0B00-00000B000000}" name="pri-1-10" dataDxfId="83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6D2D0B3-AC19-4330-8EA4-141F9D281721}" name="Tabell161824282532" displayName="Tabell161824282532" ref="A24:K25" totalsRowShown="0" headerRowDxfId="82">
  <tableColumns count="11">
    <tableColumn id="1" xr3:uid="{560831C8-B596-49F3-902F-46F69E211EA1}" name="SW" dataDxfId="81">
      <calculatedColumnFormula>(ROW())-(ROW()-1)</calculatedColumnFormula>
    </tableColumn>
    <tableColumn id="2" xr3:uid="{E82596D6-B991-40CC-95CB-F21DAE7174AF}" name="MGMT Vlan" dataDxfId="80"/>
    <tableColumn id="3" xr3:uid="{5DE7EB2B-4947-4A2E-96FE-713844832608}" name="MGMT ip" dataDxfId="79">
      <calculatedColumnFormula>LEFT($G$5,LEN($G$5)-1)&amp;(RIGHT($G$5,1)+A25)</calculatedColumnFormula>
    </tableColumn>
    <tableColumn id="4" xr3:uid="{96CD71AE-EBD8-4706-A140-6AC053EB9D28}" name="gateway" dataDxfId="78">
      <calculatedColumnFormula>$E$5</calculatedColumnFormula>
    </tableColumn>
    <tableColumn id="5" xr3:uid="{EB395938-8C00-462D-9B40-47A26EDC7494}" name="mask" dataDxfId="77">
      <calculatedColumnFormula>$F$5</calculatedColumnFormula>
    </tableColumn>
    <tableColumn id="10" xr3:uid="{BEB39869-24FF-4EAE-8FE0-8926AB748E68}" name="num_ports_tot" dataDxfId="76"/>
    <tableColumn id="11" xr3:uid="{7B550E67-B906-4FBE-A432-CB0264AAA31E}" name="skiped_ports" dataDxfId="75"/>
    <tableColumn id="6" xr3:uid="{09844D28-5E38-4CAF-946D-C86202E9AB1E}" name="num_downlink" dataDxfId="74"/>
    <tableColumn id="7" xr3:uid="{DE656B07-9307-42AC-BAE7-A54033CC0179}" name="vlan-antall" dataDxfId="73"/>
    <tableColumn id="8" xr3:uid="{C038B262-B22A-4F60-9F95-C1B59C71979D}" name="intf_prefix" dataDxfId="72"/>
    <tableColumn id="9" xr3:uid="{50AA9385-3687-4437-9979-70EDBEC87403}" name="num_port_ledig" dataDxfId="71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77F9053-1CAC-4536-82D9-E6B1B13AB72B}" name="Tabell125" displayName="Tabell125" ref="A1:I2" headerRowDxfId="70" dataDxfId="69" totalsRowDxfId="68">
  <tableColumns count="9">
    <tableColumn id="1" xr3:uid="{E6E46586-344C-4403-BB01-8EDB21806028}" name="site" dataDxfId="67"/>
    <tableColumn id="2" xr3:uid="{FCB86D2F-39D7-4C90-9092-FDE5589AE525}" name="intf_prefix" dataDxfId="66"/>
    <tableColumn id="3" xr3:uid="{4C85F93E-6153-4941-AADD-4019A25224B0}" name="router-id" dataDxfId="65">
      <calculatedColumnFormula>A2&amp;"."&amp;A2&amp;"."&amp;A2&amp;".0"</calculatedColumnFormula>
    </tableColumn>
    <tableColumn id="4" xr3:uid="{5628DB3F-6470-4F58-9719-CDC226F91032}" name="brukernavn" dataDxfId="64"/>
    <tableColumn id="5" xr3:uid="{994E14D8-8E32-40DE-BC25-819473006B20}" name="passord" dataDxfId="63"/>
    <tableColumn id="6" xr3:uid="{2510C162-2769-467E-B239-B42884D23CB5}" name="vty_lines" dataDxfId="62"/>
    <tableColumn id="7" xr3:uid="{088B1191-63A9-47D4-9FD9-A962552749AB}" name="secret" dataDxfId="61"/>
    <tableColumn id="8" xr3:uid="{6F304FFA-3989-4D92-B562-E9570C9F3576}" name="tacacs_key" dataDxfId="60">
      <calculatedColumnFormula>'Site 1 (HUB)'!H2</calculatedColumnFormula>
    </tableColumn>
    <tableColumn id="9" xr3:uid="{3C3A8CE7-2167-44CF-8A83-CBF8A3913DF1}" name="dns_servers" dataDxfId="59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5A2C5BB-52BB-4C1C-9F21-28A1781370B3}" name="Tabell326" displayName="Tabell326" ref="A10:D14" headerRowDxfId="58" dataDxfId="57" totalsRowDxfId="56">
  <tableColumns count="4">
    <tableColumn id="1" xr3:uid="{CF7349DE-C31B-4FC6-83C6-8B6628474834}" name="vrf" dataDxfId="55"/>
    <tableColumn id="2" xr3:uid="{F73FC7A9-205A-4D8C-8765-0C403F93088B}" name="rt" dataDxfId="0"/>
    <tableColumn id="3" xr3:uid="{53625FDA-B6AB-45DC-B3A1-11B9F3FB71ED}" name="loopback" dataDxfId="54"/>
    <tableColumn id="4" xr3:uid="{E89555BA-5F3F-4C0B-9EB1-2E878627A098}" name="laddr" dataDxfId="53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5A662B1-EB00-41C5-9AA3-10F1A1AB2E06}" name="Tabell427" displayName="Tabell427" ref="A16:J19" headerRowDxfId="52" dataDxfId="51" totalsRowDxfId="50">
  <tableColumns count="10">
    <tableColumn id="1" xr3:uid="{2ECB4295-60F9-49EA-9455-A3D81A24F7A0}" name="tunnel id" dataDxfId="49"/>
    <tableColumn id="2" xr3:uid="{13A72EC2-1D8A-4222-BD41-BE2592A960A7}" name="vrf" dataDxfId="48"/>
    <tableColumn id="3" xr3:uid="{223D8914-883F-4017-82DA-E5AB71951DF9}" name="ip address" dataDxfId="47">
      <calculatedColumnFormula>172&amp;"."&amp;16&amp;"."&amp;0&amp;"."&amp;(H17+$A$2)</calculatedColumnFormula>
    </tableColumn>
    <tableColumn id="4" xr3:uid="{24341D21-5A53-49ED-81C2-4F808B523A33}" name="mask" dataDxfId="46"/>
    <tableColumn id="5" xr3:uid="{B6651250-1C15-4916-9DD5-0DECA970E8E7}" name="source" dataDxfId="45">
      <calculatedColumnFormula>$C$2</calculatedColumnFormula>
    </tableColumn>
    <tableColumn id="6" xr3:uid="{8B863BC6-A759-4605-BC9F-50C3CABE8006}" name="destination" dataDxfId="44"/>
    <tableColumn id="7" xr3:uid="{BF23358A-67B7-45E8-AFF4-D27FC9289BE3}" name="gre mode" dataDxfId="43"/>
    <tableColumn id="8" xr3:uid="{C26012CA-6896-40EB-BAB9-E2B7AC017DAF}" name="network-id" dataDxfId="42"/>
    <tableColumn id="9" xr3:uid="{D286B9CB-857F-4868-8DE1-FD5BECC2B334}" name="ipsec" dataDxfId="41"/>
    <tableColumn id="10" xr3:uid="{293E9FC5-D0E5-407D-A659-65944E4EA279}" name="ipsec key" dataDxfId="40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2C2B46-26EF-4E8A-BF33-BE80A9579C3A}" name="Tabell1319253028" displayName="Tabell1319253028" ref="A21:G22" headerRowDxfId="39" dataDxfId="38" totalsRowDxfId="37">
  <tableColumns count="7">
    <tableColumn id="1" xr3:uid="{DA701FF9-2640-4ED3-9CA5-2E83863ECACD}" name="site" dataDxfId="36">
      <calculatedColumnFormula>A2</calculatedColumnFormula>
    </tableColumn>
    <tableColumn id="4" xr3:uid="{A0A92227-4ED4-45A6-AF74-08CAD53943A6}" name="brukernavn" dataDxfId="35"/>
    <tableColumn id="5" xr3:uid="{760D6751-0B3C-4CD1-BBA0-61B78451CA09}" name="passord" dataDxfId="34"/>
    <tableColumn id="3" xr3:uid="{EFF5613C-F01D-4E28-95CD-C69E310DD62B}" name="vty_lines" dataDxfId="33"/>
    <tableColumn id="2" xr3:uid="{2102378C-EB85-46A2-AACC-F9D8E8BE9DD6}" name="secret" dataDxfId="32"/>
    <tableColumn id="6" xr3:uid="{B5B5EDC5-D203-4FAB-BF0C-B091D363D2A5}" name="etherchan_num" dataDxfId="31"/>
    <tableColumn id="7" xr3:uid="{EEE8114C-5818-4125-AFC9-23640FDD8FDB}" name="span_port" dataDxfId="30" totalsRowDxfId="29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9C0F37-0A83-420D-A8E1-9EE1313312AC}" name="Tabell231" displayName="Tabell231" ref="A4:K8" headerRowDxfId="28" dataDxfId="27" totalsRowDxfId="26">
  <tableColumns count="11">
    <tableColumn id="1" xr3:uid="{B8E867F1-3F4C-41D0-86F6-FE265CF06F61}" name="vrf" dataDxfId="25"/>
    <tableColumn id="2" xr3:uid="{D18AC450-DB0E-4854-A38A-3EB64C6DD4EB}" name="vlan" dataDxfId="24"/>
    <tableColumn id="3" xr3:uid="{95B88648-5211-4200-988D-51B7D899A2BF}" name="interface" dataDxfId="23"/>
    <tableColumn id="4" xr3:uid="{341E7F84-C497-477E-9951-D8B1F0235F22}" name="nett id" dataDxfId="22"/>
    <tableColumn id="5" xr3:uid="{21C6E08A-5925-4A18-B96B-DC4B4117EAD0}" name="gateway" dataDxfId="21">
      <calculatedColumnFormula>LEFT(D5,LEN(D5)-1)&amp;"1"</calculatedColumnFormula>
    </tableColumn>
    <tableColumn id="6" xr3:uid="{16980205-5AE1-4CAF-9B95-493327E6B6C3}" name="mask" dataDxfId="20"/>
    <tableColumn id="7" xr3:uid="{4660DC90-F49A-4202-BD4B-71BC6584979A}" name="address min" dataDxfId="19">
      <calculatedColumnFormula>LEFT(D5,LEN(D5)-1)&amp;"1"</calculatedColumnFormula>
    </tableColumn>
    <tableColumn id="8" xr3:uid="{ADA93C1E-2F32-478C-AA86-4FC2ED08742C}" name="address max" dataDxfId="18">
      <calculatedColumnFormula>LEFT(D5,FIND(".",D5,FIND(".",D5)+1)-1)&amp;".255.254"</calculatedColumnFormula>
    </tableColumn>
    <tableColumn id="9" xr3:uid="{CA8441FD-37D1-4117-91A7-FA904F322160}" name="antall-res" dataDxfId="17"/>
    <tableColumn id="10" xr3:uid="{1F6500D8-8B23-4118-A326-933F33A88F27}" name="pri-afxx" dataDxfId="16"/>
    <tableColumn id="11" xr3:uid="{AC9A4C9B-1C06-4728-8D9C-E07A015E6BCA}" name="pri-1-10" dataDxfId="15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CEC4A60A-F98B-45B0-B6EF-F3AF53EA1619}" name="Tabell16182428253233" displayName="Tabell16182428253233" ref="A24:K25" totalsRowShown="0" headerRowDxfId="14">
  <tableColumns count="11">
    <tableColumn id="1" xr3:uid="{4102DBA8-76EC-46C2-97AC-C45CCA6C3959}" name="SW" dataDxfId="13">
      <calculatedColumnFormula>(ROW())-(ROW()-1)</calculatedColumnFormula>
    </tableColumn>
    <tableColumn id="2" xr3:uid="{88524807-430F-4F05-A66A-A026753796D8}" name="MGMT Vlan" dataDxfId="12"/>
    <tableColumn id="3" xr3:uid="{AC8B28E6-E5DC-45AE-BE1C-4C52D8077002}" name="MGMT ip" dataDxfId="11">
      <calculatedColumnFormula>LEFT($G$5,LEN($G$5)-1)&amp;(RIGHT($G$5,1)+A25)</calculatedColumnFormula>
    </tableColumn>
    <tableColumn id="4" xr3:uid="{07AB9192-8CD5-4149-8F18-77D5ACBE4F9E}" name="gateway" dataDxfId="10">
      <calculatedColumnFormula>$E$5</calculatedColumnFormula>
    </tableColumn>
    <tableColumn id="5" xr3:uid="{D5DA3E60-36DA-4C88-88FF-10FDD9C14A18}" name="mask" dataDxfId="9">
      <calculatedColumnFormula>$F$5</calculatedColumnFormula>
    </tableColumn>
    <tableColumn id="10" xr3:uid="{4E3337F9-025D-4DA0-982C-3E70497F895A}" name="num_ports_tot" dataDxfId="8"/>
    <tableColumn id="11" xr3:uid="{647707FF-22D1-4F6D-A670-EDBB67D47D4B}" name="skiped_ports" dataDxfId="7"/>
    <tableColumn id="6" xr3:uid="{BE2F1799-FA72-40F2-9D10-AF25AC3BCF6E}" name="num_downlink" dataDxfId="6"/>
    <tableColumn id="7" xr3:uid="{E6B5A026-07C4-4081-84E5-F4A83023F33C}" name="vlan-antall" dataDxfId="5"/>
    <tableColumn id="8" xr3:uid="{88056F0E-CDA4-4FC7-B241-EE7FA7CD666F}" name="intf_prefix" dataDxfId="4"/>
    <tableColumn id="9" xr3:uid="{016D87AC-4D94-4EDA-B2B6-4B3887442A16}" name="num_port_ledig" dataDxfId="3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>
      <selection activeCell="B10" sqref="B10:B14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bestFit="1" customWidth="1"/>
    <col min="4" max="4" width="12.28515625" customWidth="1"/>
    <col min="5" max="5" width="66" bestFit="1" customWidth="1"/>
    <col min="6" max="6" width="15.85546875" customWidth="1"/>
    <col min="7" max="7" width="66" bestFit="1" customWidth="1"/>
    <col min="8" max="8" width="14.7109375" customWidth="1"/>
    <col min="9" max="9" width="25.5703125" bestFit="1" customWidth="1"/>
    <col min="10" max="10" width="12.7109375" bestFit="1" customWidth="1"/>
    <col min="11" max="11" width="39.285156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54</v>
      </c>
    </row>
    <row r="2" spans="1:11" ht="15.75" customHeight="1" x14ac:dyDescent="0.2">
      <c r="A2" s="2">
        <v>1</v>
      </c>
      <c r="B2" s="2" t="s">
        <v>9</v>
      </c>
      <c r="C2" s="2" t="str">
        <f>A2&amp;"."&amp;A2&amp;"."&amp;A2&amp;".0"</f>
        <v>1.1.1.0</v>
      </c>
      <c r="D2" s="2" t="s">
        <v>10</v>
      </c>
      <c r="E2" s="2" t="s">
        <v>11</v>
      </c>
      <c r="F2" s="2" t="s">
        <v>12</v>
      </c>
      <c r="G2" s="2" t="s">
        <v>11</v>
      </c>
      <c r="H2" s="2" t="s">
        <v>13</v>
      </c>
      <c r="I2" s="2" t="b">
        <v>1</v>
      </c>
      <c r="J2" s="13" t="s">
        <v>55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7" t="s">
        <v>23</v>
      </c>
      <c r="K4" s="7" t="s">
        <v>24</v>
      </c>
    </row>
    <row r="5" spans="1:11" ht="15.75" customHeight="1" x14ac:dyDescent="0.2">
      <c r="A5" s="8" t="s">
        <v>25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26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27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26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28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26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29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26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3"/>
      <c r="B9" s="3"/>
    </row>
    <row r="10" spans="1:11" ht="15.75" customHeight="1" x14ac:dyDescent="0.2">
      <c r="A10" s="6" t="s">
        <v>14</v>
      </c>
      <c r="B10" s="6" t="s">
        <v>58</v>
      </c>
      <c r="C10" s="6" t="s">
        <v>30</v>
      </c>
      <c r="D10" s="6" t="s">
        <v>31</v>
      </c>
    </row>
    <row r="11" spans="1:11" ht="15.75" customHeight="1" x14ac:dyDescent="0.2">
      <c r="A11" s="8" t="s">
        <v>25</v>
      </c>
      <c r="B11" s="18" t="s">
        <v>59</v>
      </c>
      <c r="C11" s="8">
        <v>10</v>
      </c>
      <c r="D11" s="8" t="str">
        <f>$A$2&amp;"."&amp;$A$2&amp;"."&amp;$A$2&amp;"."&amp;(C11)</f>
        <v>1.1.1.10</v>
      </c>
    </row>
    <row r="12" spans="1:11" ht="15.75" customHeight="1" x14ac:dyDescent="0.2">
      <c r="A12" s="8" t="s">
        <v>27</v>
      </c>
      <c r="B12" s="18" t="s">
        <v>60</v>
      </c>
      <c r="C12" s="8">
        <v>20</v>
      </c>
      <c r="D12" s="8" t="str">
        <f t="shared" ref="D12:D14" si="4">$A$2&amp;"."&amp;$A$2&amp;"."&amp;$A$2&amp;"."&amp;(C12)</f>
        <v>1.1.1.20</v>
      </c>
    </row>
    <row r="13" spans="1:11" ht="15.75" customHeight="1" x14ac:dyDescent="0.2">
      <c r="A13" s="8" t="s">
        <v>28</v>
      </c>
      <c r="B13" s="18" t="s">
        <v>61</v>
      </c>
      <c r="C13" s="8">
        <v>30</v>
      </c>
      <c r="D13" s="8" t="str">
        <f t="shared" si="4"/>
        <v>1.1.1.30</v>
      </c>
    </row>
    <row r="14" spans="1:11" ht="15.75" customHeight="1" x14ac:dyDescent="0.2">
      <c r="A14" s="8" t="s">
        <v>29</v>
      </c>
      <c r="B14" s="18" t="s">
        <v>62</v>
      </c>
      <c r="C14" s="8">
        <v>40</v>
      </c>
      <c r="D14" s="8" t="str">
        <f t="shared" si="4"/>
        <v>1.1.1.40</v>
      </c>
    </row>
    <row r="15" spans="1:11" ht="15.75" customHeight="1" x14ac:dyDescent="0.2"/>
    <row r="16" spans="1:11" ht="15.75" customHeight="1" x14ac:dyDescent="0.2">
      <c r="A16" s="6" t="s">
        <v>32</v>
      </c>
      <c r="B16" s="6" t="s">
        <v>14</v>
      </c>
      <c r="C16" s="6" t="s">
        <v>33</v>
      </c>
      <c r="D16" s="6" t="s">
        <v>19</v>
      </c>
      <c r="E16" s="6" t="s">
        <v>34</v>
      </c>
      <c r="F16" s="6" t="s">
        <v>35</v>
      </c>
      <c r="G16" s="6" t="s">
        <v>36</v>
      </c>
      <c r="H16" s="1" t="s">
        <v>37</v>
      </c>
      <c r="I16" s="1" t="s">
        <v>38</v>
      </c>
      <c r="J16" s="1" t="s">
        <v>39</v>
      </c>
    </row>
    <row r="17" spans="1:11" ht="15.75" customHeight="1" x14ac:dyDescent="0.2">
      <c r="A17" s="8" t="s">
        <v>40</v>
      </c>
      <c r="B17" s="8" t="s">
        <v>25</v>
      </c>
      <c r="C17" s="8" t="str">
        <f>172&amp;"."&amp;16&amp;"."&amp;0&amp;"."&amp;(H17+$A$2)</f>
        <v>172.16.0.11</v>
      </c>
      <c r="D17" s="8" t="s">
        <v>41</v>
      </c>
      <c r="E17" s="8" t="str">
        <f t="shared" ref="E17:E19" si="5">$C$2</f>
        <v>1.1.1.0</v>
      </c>
      <c r="F17" s="8"/>
      <c r="G17" s="8" t="s">
        <v>42</v>
      </c>
      <c r="H17" s="2">
        <v>10</v>
      </c>
      <c r="I17" s="2"/>
      <c r="J17" s="2"/>
    </row>
    <row r="18" spans="1:11" ht="15.75" customHeight="1" x14ac:dyDescent="0.2">
      <c r="A18" s="8" t="s">
        <v>43</v>
      </c>
      <c r="B18" s="8" t="s">
        <v>28</v>
      </c>
      <c r="C18" s="8" t="str">
        <f t="shared" ref="C18" si="6">172&amp;"."&amp;16&amp;"."&amp;0&amp;"."&amp;(H18+$A$2)</f>
        <v>172.16.0.31</v>
      </c>
      <c r="D18" s="8" t="s">
        <v>41</v>
      </c>
      <c r="E18" s="8" t="str">
        <f t="shared" si="5"/>
        <v>1.1.1.0</v>
      </c>
      <c r="F18" s="8"/>
      <c r="G18" s="8" t="s">
        <v>42</v>
      </c>
      <c r="H18" s="2">
        <v>30</v>
      </c>
      <c r="I18" s="2" t="b">
        <v>1</v>
      </c>
      <c r="J18" s="2"/>
    </row>
    <row r="19" spans="1:11" ht="15.75" customHeight="1" x14ac:dyDescent="0.2">
      <c r="A19" s="8" t="s">
        <v>44</v>
      </c>
      <c r="B19" s="8" t="s">
        <v>29</v>
      </c>
      <c r="C19" s="8" t="str">
        <f t="shared" ref="C19" si="7">172&amp;"."&amp;16&amp;"."&amp;0&amp;"."&amp;(H19+$A$2)</f>
        <v>172.16.0.41</v>
      </c>
      <c r="D19" s="8" t="s">
        <v>41</v>
      </c>
      <c r="E19" s="8" t="str">
        <f t="shared" si="5"/>
        <v>1.1.1.0</v>
      </c>
      <c r="F19" s="8"/>
      <c r="G19" s="8" t="s">
        <v>42</v>
      </c>
      <c r="H19" s="2">
        <v>40</v>
      </c>
      <c r="I19" s="2" t="b">
        <v>1</v>
      </c>
      <c r="J19" s="2"/>
    </row>
    <row r="20" spans="1:11" ht="15.75" customHeight="1" x14ac:dyDescent="0.2">
      <c r="A20" s="12"/>
      <c r="B20" s="12"/>
      <c r="C20" s="12"/>
      <c r="D20" s="12"/>
      <c r="E20" s="12"/>
      <c r="F20" s="12"/>
      <c r="G20" s="12"/>
    </row>
    <row r="21" spans="1:11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56</v>
      </c>
      <c r="G21" s="1" t="s">
        <v>57</v>
      </c>
    </row>
    <row r="22" spans="1:11" ht="28.7" customHeight="1" x14ac:dyDescent="0.2">
      <c r="A22" s="2">
        <f>A2</f>
        <v>1</v>
      </c>
      <c r="B22" s="2" t="s">
        <v>10</v>
      </c>
      <c r="C22" s="2" t="s">
        <v>11</v>
      </c>
      <c r="D22" s="2" t="s">
        <v>12</v>
      </c>
      <c r="E22" s="2" t="s">
        <v>11</v>
      </c>
      <c r="F22" s="2">
        <v>2</v>
      </c>
      <c r="G22" s="2" t="b">
        <v>1</v>
      </c>
    </row>
    <row r="23" spans="1:11" ht="15.75" customHeight="1" x14ac:dyDescent="0.2"/>
    <row r="24" spans="1:11" ht="39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53</v>
      </c>
      <c r="J25" s="2" t="s">
        <v>9</v>
      </c>
      <c r="K25" s="2">
        <f t="shared" ref="K25:K26" si="8">IF($A25=1,F25-G25-H25*$F$22-2 - IF($G$22,1,0),F25-G25-(1+H25)*$F$22-1)</f>
        <v>14</v>
      </c>
    </row>
    <row r="26" spans="1:11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53</v>
      </c>
      <c r="J26" s="13" t="s">
        <v>9</v>
      </c>
      <c r="K26" s="2">
        <f t="shared" si="8"/>
        <v>20</v>
      </c>
    </row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1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4"/>
  <sheetViews>
    <sheetView workbookViewId="0">
      <selection activeCell="B10" sqref="B10:B14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bestFit="1" customWidth="1"/>
    <col min="4" max="4" width="12.28515625" style="14" customWidth="1"/>
    <col min="5" max="5" width="75.85546875" style="14" bestFit="1" customWidth="1"/>
    <col min="6" max="6" width="16.85546875" style="14" bestFit="1" customWidth="1"/>
    <col min="7" max="7" width="75.85546875" style="14" bestFit="1" customWidth="1"/>
    <col min="8" max="8" width="15.5703125" style="14" bestFit="1" customWidth="1"/>
    <col min="9" max="9" width="25.5703125" style="14" bestFit="1" customWidth="1"/>
    <col min="10" max="10" width="11.28515625" style="14" bestFit="1" customWidth="1"/>
    <col min="11" max="11" width="16.85546875" style="14" bestFit="1" customWidth="1"/>
    <col min="12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</row>
    <row r="2" spans="1:11" ht="15.75" customHeight="1" x14ac:dyDescent="0.2">
      <c r="A2" s="14">
        <v>2</v>
      </c>
      <c r="B2" s="14" t="s">
        <v>9</v>
      </c>
      <c r="C2" s="14" t="str">
        <f>A2&amp;"."&amp;A2&amp;"."&amp;A2&amp;".0"</f>
        <v>2.2.2.0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</row>
    <row r="3" spans="1:11" ht="15.75" customHeight="1" x14ac:dyDescent="0.2"/>
    <row r="4" spans="1:11" ht="31.5" customHeight="1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1" ht="15.75" customHeight="1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26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10</v>
      </c>
      <c r="J5" s="14">
        <v>21</v>
      </c>
      <c r="K5" s="14">
        <v>5</v>
      </c>
    </row>
    <row r="6" spans="1:11" ht="15.75" customHeight="1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26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10</v>
      </c>
      <c r="J6" s="14">
        <v>11</v>
      </c>
      <c r="K6" s="14">
        <v>2</v>
      </c>
    </row>
    <row r="7" spans="1:11" ht="15.75" customHeight="1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26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10</v>
      </c>
      <c r="J7" s="14">
        <v>42</v>
      </c>
      <c r="K7" s="14">
        <v>7</v>
      </c>
    </row>
    <row r="8" spans="1:11" ht="15.75" customHeight="1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26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10</v>
      </c>
      <c r="J8" s="14">
        <v>41</v>
      </c>
      <c r="K8" s="14">
        <v>10</v>
      </c>
    </row>
    <row r="9" spans="1:11" ht="15.75" customHeight="1" x14ac:dyDescent="0.2"/>
    <row r="10" spans="1:11" ht="15.75" customHeight="1" x14ac:dyDescent="0.2">
      <c r="A10" s="14" t="s">
        <v>14</v>
      </c>
      <c r="B10" s="6" t="s">
        <v>58</v>
      </c>
      <c r="C10" s="14" t="s">
        <v>30</v>
      </c>
      <c r="D10" s="14" t="s">
        <v>31</v>
      </c>
    </row>
    <row r="11" spans="1:11" ht="15.75" customHeight="1" x14ac:dyDescent="0.2">
      <c r="A11" s="14" t="s">
        <v>25</v>
      </c>
      <c r="B11" s="18" t="s">
        <v>59</v>
      </c>
      <c r="C11" s="14">
        <v>10</v>
      </c>
      <c r="D11" s="14" t="str">
        <f>A2&amp;"."&amp;A2&amp;"."&amp;A2&amp;"."&amp;(C11)</f>
        <v>2.2.2.10</v>
      </c>
    </row>
    <row r="12" spans="1:11" ht="15.75" customHeight="1" x14ac:dyDescent="0.2">
      <c r="A12" s="14" t="s">
        <v>27</v>
      </c>
      <c r="B12" s="18" t="s">
        <v>60</v>
      </c>
      <c r="C12" s="14">
        <v>20</v>
      </c>
      <c r="D12" s="14" t="str">
        <f>A2&amp;"."&amp;A2&amp;"."&amp;A2&amp;"."&amp;(C12)</f>
        <v>2.2.2.20</v>
      </c>
    </row>
    <row r="13" spans="1:11" ht="15.75" customHeight="1" x14ac:dyDescent="0.2">
      <c r="A13" s="14" t="s">
        <v>28</v>
      </c>
      <c r="B13" s="18" t="s">
        <v>61</v>
      </c>
      <c r="C13" s="14">
        <v>30</v>
      </c>
      <c r="D13" s="14" t="str">
        <f>A2&amp;"."&amp;A2&amp;"."&amp;A2&amp;"."&amp;(C13)</f>
        <v>2.2.2.30</v>
      </c>
    </row>
    <row r="14" spans="1:11" ht="15.75" customHeight="1" x14ac:dyDescent="0.2">
      <c r="A14" s="14" t="s">
        <v>29</v>
      </c>
      <c r="B14" s="18" t="s">
        <v>62</v>
      </c>
      <c r="C14" s="14">
        <v>40</v>
      </c>
      <c r="D14" s="14" t="str">
        <f t="shared" ref="D14" si="2">$A$2&amp;"."&amp;$A$2&amp;"."&amp;$A$2&amp;"."&amp;(C14)</f>
        <v>2.2.2.40</v>
      </c>
    </row>
    <row r="15" spans="1:11" ht="15.75" customHeight="1" x14ac:dyDescent="0.2"/>
    <row r="16" spans="1:11" ht="15.75" customHeight="1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</row>
    <row r="17" spans="1:11" ht="15.75" customHeight="1" x14ac:dyDescent="0.2">
      <c r="A17" s="14" t="s">
        <v>40</v>
      </c>
      <c r="B17" s="14" t="s">
        <v>25</v>
      </c>
      <c r="C17" s="14" t="str">
        <f>172&amp;"."&amp;16&amp;"."&amp;0&amp;"."&amp;(H17+$A$2)</f>
        <v>172.16.0.12</v>
      </c>
      <c r="D17" s="14" t="s">
        <v>41</v>
      </c>
      <c r="E17" s="14" t="str">
        <f t="shared" ref="E17:E19" si="3">$C$2</f>
        <v>2.2.2.0</v>
      </c>
      <c r="G17" s="14" t="s">
        <v>42</v>
      </c>
      <c r="H17" s="14">
        <v>10</v>
      </c>
      <c r="I17" s="14">
        <f t="array" ref="I17">'Site 1 (HUB)'!I17</f>
        <v>0</v>
      </c>
    </row>
    <row r="18" spans="1:11" ht="15.75" customHeight="1" x14ac:dyDescent="0.2">
      <c r="A18" s="14" t="s">
        <v>43</v>
      </c>
      <c r="B18" s="14" t="s">
        <v>28</v>
      </c>
      <c r="C18" s="14" t="str">
        <f>172&amp;"."&amp;16&amp;"."&amp;0&amp;"."&amp;(H18+$A$2)</f>
        <v>172.16.0.32</v>
      </c>
      <c r="D18" s="14" t="s">
        <v>41</v>
      </c>
      <c r="E18" s="14" t="str">
        <f t="shared" si="3"/>
        <v>2.2.2.0</v>
      </c>
      <c r="G18" s="14" t="s">
        <v>42</v>
      </c>
      <c r="H18" s="14">
        <v>30</v>
      </c>
      <c r="I18" s="14" t="b">
        <f t="array" ref="I18">'Site 1 (HUB)'!I18</f>
        <v>1</v>
      </c>
    </row>
    <row r="19" spans="1:11" ht="15.75" customHeight="1" x14ac:dyDescent="0.2">
      <c r="A19" s="14" t="s">
        <v>44</v>
      </c>
      <c r="B19" s="14" t="s">
        <v>29</v>
      </c>
      <c r="C19" s="14" t="str">
        <f t="shared" ref="C19" si="4">172&amp;"."&amp;16&amp;"."&amp;0&amp;"."&amp;(H19+$A$2)</f>
        <v>172.16.0.42</v>
      </c>
      <c r="D19" s="14" t="s">
        <v>41</v>
      </c>
      <c r="E19" s="14" t="str">
        <f t="shared" si="3"/>
        <v>2.2.2.0</v>
      </c>
      <c r="G19" s="14" t="s">
        <v>42</v>
      </c>
      <c r="H19" s="14">
        <v>40</v>
      </c>
      <c r="I19" s="14" t="b">
        <f>'Site 1 (HUB)'!I19</f>
        <v>1</v>
      </c>
    </row>
    <row r="20" spans="1:11" ht="15.75" customHeight="1" x14ac:dyDescent="0.2"/>
    <row r="21" spans="1:11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56</v>
      </c>
      <c r="G21" s="14" t="s">
        <v>57</v>
      </c>
    </row>
    <row r="22" spans="1:11" ht="15.75" customHeight="1" x14ac:dyDescent="0.2">
      <c r="A22" s="14">
        <f>A2</f>
        <v>2</v>
      </c>
      <c r="B22" s="14" t="s">
        <v>10</v>
      </c>
      <c r="C22" s="14" t="s">
        <v>11</v>
      </c>
      <c r="D22" s="14" t="s">
        <v>12</v>
      </c>
      <c r="E22" s="14" t="s">
        <v>11</v>
      </c>
      <c r="F22" s="14">
        <v>2</v>
      </c>
      <c r="G22" s="14" t="b">
        <v>1</v>
      </c>
    </row>
    <row r="23" spans="1:11" ht="15.75" customHeight="1" x14ac:dyDescent="0.2"/>
    <row r="24" spans="1:11" ht="15.75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53</v>
      </c>
      <c r="J25" s="2" t="s">
        <v>9</v>
      </c>
      <c r="K25" s="2">
        <f>IF($A25=1,F25-G25-H25*$F$22-2 - IF($G$22,1,0),F25-G25-(1+H25)*$F$22-1)</f>
        <v>20</v>
      </c>
    </row>
    <row r="26" spans="1:11" ht="15.75" customHeight="1" x14ac:dyDescent="0.2"/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I25" xr:uid="{D1026AEF-88A1-41AD-A0F5-089AD26E947E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abSelected="1" workbookViewId="0">
      <selection activeCell="C35" sqref="C35"/>
    </sheetView>
  </sheetViews>
  <sheetFormatPr defaultRowHeight="12.75" x14ac:dyDescent="0.2"/>
  <cols>
    <col min="1" max="1" width="10.7109375" customWidth="1"/>
    <col min="2" max="2" width="13" customWidth="1"/>
    <col min="3" max="3" width="75.85546875" bestFit="1" customWidth="1"/>
    <col min="4" max="4" width="12.28515625" customWidth="1"/>
    <col min="5" max="5" width="75.85546875" bestFit="1" customWidth="1"/>
    <col min="6" max="6" width="16.85546875" bestFit="1" customWidth="1"/>
    <col min="7" max="7" width="58.7109375" customWidth="1"/>
    <col min="8" max="8" width="15.5703125" bestFit="1" customWidth="1"/>
    <col min="9" max="9" width="25.5703125" bestFit="1" customWidth="1"/>
    <col min="10" max="10" width="11.28515625" bestFit="1" customWidth="1"/>
    <col min="11" max="11" width="16.85546875" bestFit="1" customWidth="1"/>
  </cols>
  <sheetData>
    <row r="1" spans="1:12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  <c r="J1" s="14"/>
      <c r="K1" s="14"/>
    </row>
    <row r="2" spans="1:12" ht="14.25" x14ac:dyDescent="0.2">
      <c r="A2" s="14">
        <v>3</v>
      </c>
      <c r="B2" s="14" t="s">
        <v>9</v>
      </c>
      <c r="C2" s="14" t="str">
        <f>A2&amp;"."&amp;A2&amp;"."&amp;A2&amp;".0"</f>
        <v>3.3.3.0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  <c r="J2" s="14"/>
      <c r="K2" s="14"/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2" ht="14.25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26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10</v>
      </c>
      <c r="J5" s="14">
        <v>21</v>
      </c>
      <c r="K5" s="14">
        <v>5</v>
      </c>
    </row>
    <row r="6" spans="1:12" ht="14.25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26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10</v>
      </c>
      <c r="J6" s="14">
        <v>11</v>
      </c>
      <c r="K6" s="14">
        <v>2</v>
      </c>
    </row>
    <row r="7" spans="1:12" ht="14.25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26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10</v>
      </c>
      <c r="J7" s="14">
        <v>42</v>
      </c>
      <c r="K7" s="14">
        <v>7</v>
      </c>
    </row>
    <row r="8" spans="1:12" ht="14.25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26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10</v>
      </c>
      <c r="J8" s="14">
        <v>41</v>
      </c>
      <c r="K8" s="14">
        <v>10</v>
      </c>
    </row>
    <row r="9" spans="1:12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2" ht="15" x14ac:dyDescent="0.2">
      <c r="A10" s="14" t="s">
        <v>14</v>
      </c>
      <c r="B10" s="6" t="s">
        <v>58</v>
      </c>
      <c r="C10" s="14" t="s">
        <v>30</v>
      </c>
      <c r="D10" s="14" t="s">
        <v>31</v>
      </c>
      <c r="E10" s="14"/>
      <c r="F10" s="14"/>
      <c r="G10" s="14"/>
      <c r="H10" s="14"/>
      <c r="I10" s="14"/>
      <c r="J10" s="14"/>
      <c r="K10" s="14"/>
      <c r="L10" s="14"/>
    </row>
    <row r="11" spans="1:12" ht="14.25" x14ac:dyDescent="0.2">
      <c r="A11" s="14" t="s">
        <v>25</v>
      </c>
      <c r="B11" s="18" t="s">
        <v>59</v>
      </c>
      <c r="C11" s="14">
        <v>10</v>
      </c>
      <c r="D11" s="14" t="str">
        <f>A2&amp;"."&amp;A2&amp;"."&amp;A2&amp;"."&amp;(C11)</f>
        <v>3.3.3.10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27</v>
      </c>
      <c r="B12" s="18" t="s">
        <v>60</v>
      </c>
      <c r="C12" s="14">
        <v>20</v>
      </c>
      <c r="D12" s="14" t="str">
        <f>A2&amp;"."&amp;A2&amp;"."&amp;A2&amp;"."&amp;(C12)</f>
        <v>3.3.3.20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28</v>
      </c>
      <c r="B13" s="18" t="s">
        <v>61</v>
      </c>
      <c r="C13" s="14">
        <v>30</v>
      </c>
      <c r="D13" s="14" t="str">
        <f>A2&amp;"."&amp;A2&amp;"."&amp;A2&amp;"."&amp;(C13)</f>
        <v>3.3.3.30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29</v>
      </c>
      <c r="B14" s="18" t="s">
        <v>62</v>
      </c>
      <c r="C14" s="14">
        <v>40</v>
      </c>
      <c r="D14" s="14" t="str">
        <f t="shared" ref="D14" si="2">$A$2&amp;"."&amp;$A$2&amp;"."&amp;$A$2&amp;"."&amp;(C14)</f>
        <v>3.3.3.40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2" ht="14.25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  <c r="K16" s="14"/>
    </row>
    <row r="17" spans="1:11" ht="14.25" x14ac:dyDescent="0.2">
      <c r="A17" s="14" t="s">
        <v>40</v>
      </c>
      <c r="B17" s="14" t="s">
        <v>25</v>
      </c>
      <c r="C17" s="14" t="str">
        <f>172&amp;"."&amp;16&amp;"."&amp;0&amp;"."&amp;(H17+$A$2)</f>
        <v>172.16.0.13</v>
      </c>
      <c r="D17" s="14" t="s">
        <v>41</v>
      </c>
      <c r="E17" s="14" t="str">
        <f t="shared" ref="E17:E19" si="3">$C$2</f>
        <v>3.3.3.0</v>
      </c>
      <c r="F17" s="14"/>
      <c r="G17" s="14" t="s">
        <v>42</v>
      </c>
      <c r="H17" s="14">
        <v>10</v>
      </c>
      <c r="I17" s="14">
        <f t="array" ref="I17">'Site 1 (HUB)'!I17</f>
        <v>0</v>
      </c>
      <c r="J17" s="14"/>
      <c r="K17" s="14"/>
    </row>
    <row r="18" spans="1:11" ht="14.25" x14ac:dyDescent="0.2">
      <c r="A18" s="14" t="s">
        <v>43</v>
      </c>
      <c r="B18" s="14" t="s">
        <v>28</v>
      </c>
      <c r="C18" s="14" t="str">
        <f>172&amp;"."&amp;16&amp;"."&amp;0&amp;"."&amp;(H18+$A$2)</f>
        <v>172.16.0.33</v>
      </c>
      <c r="D18" s="14" t="s">
        <v>41</v>
      </c>
      <c r="E18" s="14" t="str">
        <f t="shared" si="3"/>
        <v>3.3.3.0</v>
      </c>
      <c r="F18" s="14"/>
      <c r="G18" s="14" t="s">
        <v>42</v>
      </c>
      <c r="H18" s="14">
        <v>30</v>
      </c>
      <c r="I18" s="14" t="b">
        <f t="array" ref="I18">'Site 1 (HUB)'!I18</f>
        <v>1</v>
      </c>
      <c r="J18" s="14"/>
      <c r="K18" s="14"/>
    </row>
    <row r="19" spans="1:11" ht="14.25" x14ac:dyDescent="0.2">
      <c r="A19" s="14" t="s">
        <v>44</v>
      </c>
      <c r="B19" s="14" t="s">
        <v>29</v>
      </c>
      <c r="C19" s="14" t="str">
        <f t="shared" ref="C19" si="4">172&amp;"."&amp;16&amp;"."&amp;0&amp;"."&amp;(H19+$A$2)</f>
        <v>172.16.0.43</v>
      </c>
      <c r="D19" s="14" t="s">
        <v>41</v>
      </c>
      <c r="E19" s="14" t="str">
        <f t="shared" si="3"/>
        <v>3.3.3.0</v>
      </c>
      <c r="F19" s="14"/>
      <c r="G19" s="14" t="s">
        <v>42</v>
      </c>
      <c r="H19" s="14">
        <v>40</v>
      </c>
      <c r="I19" s="14" t="b">
        <f>'Site 1 (HUB)'!I19</f>
        <v>1</v>
      </c>
      <c r="J19" s="14"/>
      <c r="K19" s="14"/>
    </row>
    <row r="20" spans="1:11" ht="14.25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1" ht="14.25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56</v>
      </c>
      <c r="G21" s="14" t="s">
        <v>57</v>
      </c>
      <c r="H21" s="14"/>
      <c r="I21" s="14"/>
      <c r="J21" s="14"/>
      <c r="K21" s="14"/>
    </row>
    <row r="22" spans="1:11" ht="14.25" x14ac:dyDescent="0.2">
      <c r="A22" s="14">
        <f>A2</f>
        <v>3</v>
      </c>
      <c r="B22" s="14" t="s">
        <v>10</v>
      </c>
      <c r="C22" s="14" t="s">
        <v>11</v>
      </c>
      <c r="D22" s="14" t="s">
        <v>12</v>
      </c>
      <c r="E22" s="14" t="s">
        <v>11</v>
      </c>
      <c r="F22" s="14">
        <v>2</v>
      </c>
      <c r="G22" s="14" t="b">
        <v>1</v>
      </c>
      <c r="H22" s="14"/>
      <c r="I22" s="14"/>
      <c r="J22" s="14"/>
      <c r="K22" s="14"/>
    </row>
    <row r="23" spans="1:11" ht="14.25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1" ht="15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14.25" x14ac:dyDescent="0.2">
      <c r="A25" s="8">
        <f>(ROW())-(ROW()-1)</f>
        <v>1</v>
      </c>
      <c r="B25" s="8">
        <v>10</v>
      </c>
      <c r="C25" s="8" t="str">
        <f>LEFT($G$5,LEN($G$5)-1)&amp;(RIGHT($G$5,1)+A25)</f>
        <v>10.13.0.2</v>
      </c>
      <c r="D25" s="8" t="str">
        <f>$E$5</f>
        <v>10.13.0.1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53</v>
      </c>
      <c r="J25" s="2" t="s">
        <v>9</v>
      </c>
      <c r="K25" s="2">
        <f>IF($A25=1,F25-G25-H25*$F$22-2 - IF($G$22,1,0),F25-G25-(1+H25)*$F$22-1)</f>
        <v>20</v>
      </c>
    </row>
    <row r="26" spans="1:11" ht="14.25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</sheetData>
  <dataValidations count="1">
    <dataValidation type="custom" allowBlank="1" showInputMessage="1" showErrorMessage="1" sqref="I25" xr:uid="{44077420-E806-44F5-BB6E-60A45CE71946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2026-09-12T16:25:21Z</dcterms:modified>
</cp:coreProperties>
</file>