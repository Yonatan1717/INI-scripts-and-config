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CE0C26DC-6B80-4376-AB1D-89FAF7543CC3}" xr6:coauthVersionLast="47" xr6:coauthVersionMax="47" xr10:uidLastSave="{00000000-0000-0000-0000-000000000000}"/>
  <bookViews>
    <workbookView xWindow="25695" yWindow="0" windowWidth="26010" windowHeight="20985" activeTab="1" xr2:uid="{00000000-000D-0000-FFFF-FFFF00000000}"/>
  </bookViews>
  <sheets>
    <sheet name="Site 1 (HUB)" sheetId="1" r:id="rId1"/>
    <sheet name="Site 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E23" i="2"/>
  <c r="J22" i="2"/>
  <c r="E22" i="2"/>
  <c r="A22" i="2"/>
  <c r="J22" i="1"/>
  <c r="E22" i="1"/>
  <c r="D22" i="1"/>
  <c r="A22" i="1"/>
  <c r="C22" i="1" s="1"/>
  <c r="H2" i="2"/>
  <c r="A19" i="2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7" i="2" l="1"/>
  <c r="G7" i="2"/>
  <c r="E6" i="2"/>
  <c r="G6" i="2"/>
  <c r="E5" i="2"/>
  <c r="G5" i="2"/>
  <c r="C23" i="2" s="1"/>
  <c r="E5" i="1"/>
  <c r="G6" i="1"/>
  <c r="G7" i="1"/>
  <c r="D23" i="2" l="1"/>
  <c r="D22" i="2"/>
  <c r="C22" i="2"/>
</calcChain>
</file>

<file path=xl/sharedStrings.xml><?xml version="1.0" encoding="utf-8"?>
<sst xmlns="http://schemas.openxmlformats.org/spreadsheetml/2006/main" count="162" uniqueCount="57">
  <si>
    <t>site</t>
  </si>
  <si>
    <t>intf_prefix</t>
  </si>
  <si>
    <t>router-id</t>
  </si>
  <si>
    <t>brukernavn</t>
  </si>
  <si>
    <t>passord</t>
  </si>
  <si>
    <t>vty_lines</t>
  </si>
  <si>
    <t>admin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</si>
  <si>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</si>
  <si>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</si>
  <si>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</si>
  <si>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</si>
  <si>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</si>
  <si>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</si>
  <si>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</si>
  <si>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</si>
  <si>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</si>
  <si>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</si>
  <si>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</si>
  <si>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</si>
  <si>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</si>
  <si>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</si>
  <si>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</si>
  <si>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</si>
  <si>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</si>
  <si>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</si>
  <si>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</si>
  <si>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</si>
  <si>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</si>
  <si>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</si>
  <si>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</si>
  <si>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</si>
  <si>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</si>
  <si>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</si>
  <si>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</si>
  <si>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</si>
  <si>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</si>
  <si>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</si>
  <si>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</si>
  <si>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</si>
  <si>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</si>
  <si>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</si>
  <si>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</si>
  <si>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</si>
  <si>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</si>
  <si>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</si>
  <si>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</si>
  <si>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</si>
  <si>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</si>
  <si>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secret</t>
  </si>
  <si>
    <t>$9$0nNdTjfcaOQFlP$4VgON16XmZXlfGr4BcOzEN7OoRxfPIAcXDQ0afwx67k</t>
  </si>
  <si>
    <t>ISP-VLAN</t>
  </si>
  <si>
    <t>tacacs_key</t>
  </si>
  <si>
    <t>TACACS-KEY</t>
  </si>
  <si>
    <t>DHCP</t>
  </si>
  <si>
    <t>num_downlink</t>
  </si>
  <si>
    <t>20.1-200.1</t>
  </si>
  <si>
    <t>20.0-30.0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</si>
</sst>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  <xf numFmtId="0" fontId="0" fillId="0" borderId="0" xfId="0" applyAlignment="1">
      <alignment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134"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sz val="11"/>
        <color theme="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sz val="11"/>
        <color theme="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33"/>
      <tableStyleElement type="headerRow" dxfId="132"/>
      <tableStyleElement type="firstRowStripe" dxfId="131"/>
      <tableStyleElement type="secondRowStripe" dxfId="130"/>
    </tableStyle>
    <tableStyle name="Site 3-style" pivot="0" count="4" xr9:uid="{00000000-0011-0000-FFFF-FFFF01000000}">
      <tableStyleElement type="wholeTable" size="0" dxfId="129"/>
      <tableStyleElement type="headerRow" dxfId="128"/>
      <tableStyleElement type="firstRowStripe" dxfId="127"/>
      <tableStyleElement type="secondRowStripe" dxfId="126"/>
    </tableStyle>
    <tableStyle name="Site 2-style" pivot="0" count="4" xr9:uid="{00000000-0011-0000-FFFF-FFFF02000000}">
      <tableStyleElement type="wholeTable" size="0" dxfId="125"/>
      <tableStyleElement type="headerRow" dxfId="124"/>
      <tableStyleElement type="firstRowStripe" dxfId="123"/>
      <tableStyleElement type="secondRowStripe" dxfId="122"/>
    </tableStyle>
    <tableStyle name="Site 4-style" pivot="0" count="4" xr9:uid="{00000000-0011-0000-FFFF-FFFF03000000}">
      <tableStyleElement type="wholeTable" size="0" dxfId="121"/>
      <tableStyleElement type="headerRow" dxfId="120"/>
      <tableStyleElement type="firstRowStripe" dxfId="119"/>
      <tableStyleElement type="secondRowStripe" dxfId="118"/>
    </tableStyle>
    <tableStyle name="Site 3-style 2" pivot="0" count="4" xr9:uid="{00000000-0011-0000-FFFF-FFFF04000000}">
      <tableStyleElement type="wholeTable" size="0" dxfId="117"/>
      <tableStyleElement type="headerRow" dxfId="116"/>
      <tableStyleElement type="firstRowStripe" dxfId="115"/>
      <tableStyleElement type="secondRowStripe" dxfId="114"/>
    </tableStyle>
    <tableStyle name="Site 1 (HUB)-style 2" pivot="0" count="4" xr9:uid="{00000000-0011-0000-FFFF-FFFF05000000}">
      <tableStyleElement type="wholeTable" size="0" dxfId="113"/>
      <tableStyleElement type="headerRow" dxfId="112"/>
      <tableStyleElement type="firstRowStripe" dxfId="111"/>
      <tableStyleElement type="secondRowStripe" dxfId="110"/>
    </tableStyle>
    <tableStyle name="Site 2-style 2" pivot="0" count="4" xr9:uid="{00000000-0011-0000-FFFF-FFFF06000000}">
      <tableStyleElement type="wholeTable" size="0" dxfId="109"/>
      <tableStyleElement type="headerRow" dxfId="108"/>
      <tableStyleElement type="firstRowStripe" dxfId="107"/>
      <tableStyleElement type="secondRowStripe" dxfId="106"/>
    </tableStyle>
    <tableStyle name="Site 3-style 3" pivot="0" count="4" xr9:uid="{00000000-0011-0000-FFFF-FFFF07000000}">
      <tableStyleElement type="wholeTable" size="0" dxfId="105"/>
      <tableStyleElement type="headerRow" dxfId="104"/>
      <tableStyleElement type="firstRowStripe" dxfId="103"/>
      <tableStyleElement type="secondRowStripe" dxfId="102"/>
    </tableStyle>
    <tableStyle name="Site 1 (HUB)-style 3" pivot="0" count="4" xr9:uid="{00000000-0011-0000-FFFF-FFFF08000000}">
      <tableStyleElement type="wholeTable" size="0" dxfId="101"/>
      <tableStyleElement type="headerRow" dxfId="100"/>
      <tableStyleElement type="firstRowStripe" dxfId="99"/>
      <tableStyleElement type="secondRowStripe" dxfId="98"/>
    </tableStyle>
    <tableStyle name="Site 4-style 2" pivot="0" count="4" xr9:uid="{00000000-0011-0000-FFFF-FFFF09000000}">
      <tableStyleElement type="wholeTable" size="0" dxfId="97"/>
      <tableStyleElement type="headerRow" dxfId="96"/>
      <tableStyleElement type="firstRowStripe" dxfId="95"/>
      <tableStyleElement type="secondRowStripe" dxfId="94"/>
    </tableStyle>
    <tableStyle name="Site 3-style 4" pivot="0" count="4" xr9:uid="{00000000-0011-0000-FFFF-FFFF0A000000}">
      <tableStyleElement type="wholeTable" size="0" dxfId="93"/>
      <tableStyleElement type="headerRow" dxfId="92"/>
      <tableStyleElement type="firstRowStripe" dxfId="91"/>
      <tableStyleElement type="secondRowStripe" dxfId="90"/>
    </tableStyle>
    <tableStyle name="Site 1 (HUB)-style 4" pivot="0" count="4" xr9:uid="{00000000-0011-0000-FFFF-FFFF0B000000}">
      <tableStyleElement type="wholeTable" size="0" dxfId="89"/>
      <tableStyleElement type="headerRow" dxfId="88"/>
      <tableStyleElement type="firstRowStripe" dxfId="87"/>
      <tableStyleElement type="secondRowStripe" dxfId="86"/>
    </tableStyle>
    <tableStyle name="Site 2-style 3" pivot="0" count="4" xr9:uid="{00000000-0011-0000-FFFF-FFFF0C000000}">
      <tableStyleElement type="wholeTable" size="0" dxfId="85"/>
      <tableStyleElement type="headerRow" dxfId="84"/>
      <tableStyleElement type="firstRowStripe" dxfId="83"/>
      <tableStyleElement type="secondRowStripe" dxfId="82"/>
    </tableStyle>
    <tableStyle name="Site 4-style 3" pivot="0" count="4" xr9:uid="{00000000-0011-0000-FFFF-FFFF0D000000}">
      <tableStyleElement type="wholeTable" size="0" dxfId="81"/>
      <tableStyleElement type="headerRow" dxfId="80"/>
      <tableStyleElement type="firstRowStripe" dxfId="79"/>
      <tableStyleElement type="secondRowStripe" dxfId="78"/>
    </tableStyle>
    <tableStyle name="Site 2-style 4" pivot="0" count="4" xr9:uid="{00000000-0011-0000-FFFF-FFFF0E000000}">
      <tableStyleElement type="wholeTable" size="0" dxfId="77"/>
      <tableStyleElement type="headerRow" dxfId="76"/>
      <tableStyleElement type="firstRowStripe" dxfId="75"/>
      <tableStyleElement type="secondRowStripe" dxfId="74"/>
    </tableStyle>
    <tableStyle name="Site 4-style 4" pivot="0" count="4" xr9:uid="{00000000-0011-0000-FFFF-FFFF0F000000}">
      <tableStyleElement type="wholeTable" size="0" dxfId="73"/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NO_MPLS_SAD/demo_no_mpls.xlsx" TargetMode="External"/><Relationship Id="rId2" Type="http://schemas.openxmlformats.org/officeDocument/2006/relationships/externalLinkPath" Target="file:///C:\Users\yonat\Videos\INI\NO_MPLS_SAD\demo_no_mpls.xlsx" TargetMode="External"/><Relationship Id="rId1" Type="http://schemas.openxmlformats.org/officeDocument/2006/relationships/externalLinkPath" Target="/Users/yonat/Videos/INI/NO_MPLS_SAD/demo_no_mp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ite 1 (HUB)"/>
      <sheetName val="Site 2"/>
      <sheetName val="Site 3"/>
    </sheetNames>
    <sheetDataSet>
      <sheetData sheetId="0">
        <row r="2">
          <cell r="H2" t="str">
            <v>TACACS-KEY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I2">
  <tableColumns count="9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754ADF79-920D-4601-911B-DB20F4E9EEB9}" name="secret" dataDxfId="68"/>
    <tableColumn id="8" xr3:uid="{D0D229CA-753B-453C-9A1D-053A88AD2FB6}" name="tacacs_key" dataDxfId="67"/>
    <tableColumn id="9" xr3:uid="{A82651FC-2FFE-4402-BC44-92E5C3712234}" name="DHCP" dataDxfId="42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66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F19" headerRowDxfId="65" dataDxfId="64" totalsRowDxfId="63">
  <tableColumns count="6">
    <tableColumn id="1" xr3:uid="{2906F324-3A93-4FB9-9A3C-D48E0E017DE1}" name="site" dataDxfId="62">
      <calculatedColumnFormula>A2</calculatedColumnFormula>
    </tableColumn>
    <tableColumn id="2" xr3:uid="{EACB8E41-CE14-43F2-9E46-F1D9E473C840}" name="brukernavn" dataDxfId="61"/>
    <tableColumn id="4" xr3:uid="{BDD570DD-38B1-4E0D-8E69-41BC5527F423}" name="passord" dataDxfId="60"/>
    <tableColumn id="5" xr3:uid="{0C9E5C25-E441-46FF-92BD-E2BEA9C8A2C6}" name="vty_lines" dataDxfId="59"/>
    <tableColumn id="3" xr3:uid="{E15E69AB-85DA-4C56-B495-1EB315268322}" name="secret" dataDxfId="58" totalsRowDxfId="57"/>
    <tableColumn id="6" xr3:uid="{780AEC27-3E57-42D0-BC23-E125408AA682}" name="ISP-VLAN" dataDxfId="56" totalsRowDxfId="55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21A922-7E8A-45E7-AE04-0441DE670A51}" name="Tabell1618242825" displayName="Tabell1618242825" ref="A21:J22" totalsRowShown="0" headerRowDxfId="41" totalsRowDxfId="40">
  <tableColumns count="10">
    <tableColumn id="1" xr3:uid="{17043ED8-B157-48AE-9588-8FFFE6CBEB00}" name="SW" dataDxfId="38" totalsRowDxfId="39">
      <calculatedColumnFormula>(ROW())-(ROW()-1)</calculatedColumnFormula>
    </tableColumn>
    <tableColumn id="2" xr3:uid="{5B18EFE4-1AAC-4177-B44E-418CA7D53B87}" name="MGMT Vlan" dataDxfId="36" totalsRowDxfId="37"/>
    <tableColumn id="3" xr3:uid="{3ECF4603-AD53-4268-AEAF-9E9FD8BFE26F}" name="MGMT ip" dataDxfId="34" totalsRowDxfId="35">
      <calculatedColumnFormula>LEFT($G$5,LEN($G$5)-1)&amp;(RIGHT($G$5,1)+A22)</calculatedColumnFormula>
    </tableColumn>
    <tableColumn id="4" xr3:uid="{B18E2902-11D9-46CB-B84F-8F4935A1D284}" name="gateway" dataDxfId="32" totalsRowDxfId="33">
      <calculatedColumnFormula>$E$5</calculatedColumnFormula>
    </tableColumn>
    <tableColumn id="5" xr3:uid="{2621691A-DEA8-47B9-9D3D-80567D328807}" name="mask" dataDxfId="30" totalsRowDxfId="31">
      <calculatedColumnFormula>$F$5</calculatedColumnFormula>
    </tableColumn>
    <tableColumn id="10" xr3:uid="{CB60E0E0-A63D-4A02-B091-65F85E9F11AF}" name="num_ports" dataDxfId="28" totalsRowDxfId="29"/>
    <tableColumn id="6" xr3:uid="{CB4F4360-8A59-4A0E-8D38-FB8AA96AD857}" name="num_downlink" dataDxfId="27"/>
    <tableColumn id="7" xr3:uid="{5F51D934-D077-4177-A9A6-F795410E7D80}" name="vlan-antall" dataDxfId="25" totalsRowDxfId="26"/>
    <tableColumn id="8" xr3:uid="{4A65056B-1B42-4EE6-B9F4-91848D27576F}" name="intf_prefix" dataDxfId="23" totalsRowDxfId="24"/>
    <tableColumn id="9" xr3:uid="{170A373D-AB86-4AA1-9E99-96192E4A6C90}" name="num_port_ledig" dataDxfId="21" totalsRowDxfId="22">
      <calculatedColumnFormula>$F22-$G22-2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H2">
  <tableColumns count="8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  <tableColumn id="7" xr3:uid="{AB00FC62-D408-4EC3-87DF-1FBB1D6A67CC}" name="secret" dataDxfId="54"/>
    <tableColumn id="8" xr3:uid="{04235F4C-3565-444A-A3D2-5BF311DA404B}" name="tacacs_key" dataDxfId="53">
      <calculatedColumnFormula>'[1]Site 1 (HUB)'!H2</calculatedColumnFormula>
    </tableColumn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69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E19" headerRowDxfId="52" dataDxfId="51" totalsRowDxfId="50">
  <tableColumns count="5">
    <tableColumn id="1" xr3:uid="{FCAD462F-C9DE-45E3-B342-8BC685D1666E}" name="site" dataDxfId="49">
      <calculatedColumnFormula>A2</calculatedColumnFormula>
    </tableColumn>
    <tableColumn id="4" xr3:uid="{A37D0432-8751-44ED-8106-422243C1F04B}" name="brukernavn" dataDxfId="48"/>
    <tableColumn id="5" xr3:uid="{1A9A17E0-8442-4E89-96DC-BC0A8BECBBCA}" name="passord" dataDxfId="47"/>
    <tableColumn id="3" xr3:uid="{F0C81F5E-B27A-43FB-83C1-1FEB580854DE}" name="vty_lines" dataDxfId="45" totalsRowDxfId="46"/>
    <tableColumn id="2" xr3:uid="{E8DA5B0D-4B09-4D1E-BDAB-BAC231407C4D}" name="secret" dataDxfId="43" totalsRowDxfId="44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18D7CE-5F6D-4BA7-B2AC-4C3C78FCDD65}" name="Tabell16182428210" displayName="Tabell16182428210" ref="A21:J23" totalsRowShown="0" headerRowDxfId="20" totalsRowDxfId="19">
  <tableColumns count="10">
    <tableColumn id="1" xr3:uid="{549BAA12-F838-405D-A1C3-6FAB2A58804E}" name="SW" dataDxfId="17" totalsRowDxfId="18">
      <calculatedColumnFormula>(ROW())-(ROW()-1)</calculatedColumnFormula>
    </tableColumn>
    <tableColumn id="2" xr3:uid="{40D57DF5-0912-405C-975B-2E1FC16700E8}" name="MGMT Vlan" dataDxfId="15" totalsRowDxfId="16"/>
    <tableColumn id="3" xr3:uid="{8B87DF45-E78F-486A-92C9-7C274856678F}" name="MGMT ip" dataDxfId="13" totalsRowDxfId="14">
      <calculatedColumnFormula>LEFT($G$5,LEN($G$5)-1)&amp;(RIGHT($G$5,1)+A22)</calculatedColumnFormula>
    </tableColumn>
    <tableColumn id="4" xr3:uid="{27D43F88-42FA-4EDC-926D-633212499543}" name="gateway" dataDxfId="11" totalsRowDxfId="12">
      <calculatedColumnFormula>$E$5</calculatedColumnFormula>
    </tableColumn>
    <tableColumn id="5" xr3:uid="{D6421308-7910-48D8-A14D-86E270D7FA08}" name="mask" dataDxfId="9" totalsRowDxfId="10">
      <calculatedColumnFormula>$F$5</calculatedColumnFormula>
    </tableColumn>
    <tableColumn id="10" xr3:uid="{08D75E86-67E5-4D53-937C-97A90135A403}" name="num_ports" dataDxfId="7" totalsRowDxfId="8"/>
    <tableColumn id="6" xr3:uid="{1A5124AD-470A-4584-86C5-F68460F1FA83}" name="num_downlink" dataDxfId="6"/>
    <tableColumn id="7" xr3:uid="{E65524AA-2536-4528-9F78-853F0171FF54}" name="vlan-antall" dataDxfId="4" totalsRowDxfId="5"/>
    <tableColumn id="8" xr3:uid="{033C3BD7-A139-470D-9DF1-D9AAEEC30096}" name="intf_prefix" dataDxfId="2" totalsRowDxfId="3"/>
    <tableColumn id="9" xr3:uid="{5F9B7759-B4A0-49D7-A6C9-F5D550575EBC}" name="num_port_ledig" dataDxfId="0" totalsRowDxfId="1">
      <calculatedColumnFormula>$F22-$G22-2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D29" sqref="D29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51</v>
      </c>
      <c r="I1" s="1" t="s">
        <v>53</v>
      </c>
    </row>
    <row r="2" spans="1:11" ht="15.75" customHeight="1" x14ac:dyDescent="0.2">
      <c r="A2" s="2">
        <v>1</v>
      </c>
      <c r="B2" s="2" t="s">
        <v>45</v>
      </c>
      <c r="C2" s="2" t="str">
        <f>A2&amp;"."&amp;A2&amp;"."&amp;A2&amp;".0"</f>
        <v>1.1.1.0</v>
      </c>
      <c r="D2" s="2" t="s">
        <v>6</v>
      </c>
      <c r="E2" s="2" t="s">
        <v>49</v>
      </c>
      <c r="F2" s="2" t="s">
        <v>7</v>
      </c>
      <c r="G2" s="2" t="s">
        <v>49</v>
      </c>
      <c r="H2" s="2" t="s">
        <v>52</v>
      </c>
      <c r="I2" s="2" t="b">
        <v>1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17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17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17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5" t="s">
        <v>29</v>
      </c>
      <c r="G14" s="5" t="s">
        <v>30</v>
      </c>
      <c r="H14" s="1" t="s">
        <v>31</v>
      </c>
      <c r="I14" s="1" t="s">
        <v>32</v>
      </c>
      <c r="J14" s="1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172&amp;"."&amp;16&amp;"."&amp;0&amp;"."&amp;(H15+A2)</f>
        <v>172.16.0.11</v>
      </c>
      <c r="D15" s="6" t="s">
        <v>35</v>
      </c>
      <c r="E15" s="6" t="str">
        <f>A2&amp;"."&amp;A2&amp;"."&amp;A2&amp;"."&amp;H15</f>
        <v>1.1.1.10</v>
      </c>
      <c r="F15" s="6"/>
      <c r="G15" s="6" t="s">
        <v>36</v>
      </c>
      <c r="H15" s="2">
        <v>10</v>
      </c>
      <c r="I15" s="2"/>
      <c r="J15" s="2"/>
    </row>
    <row r="16" spans="1:11" ht="15.75" customHeight="1" x14ac:dyDescent="0.2">
      <c r="A16" s="6" t="s">
        <v>37</v>
      </c>
      <c r="B16" s="6" t="s">
        <v>19</v>
      </c>
      <c r="C16" s="6" t="str">
        <f>172&amp;"."&amp;16&amp;"."&amp;0&amp;"."&amp;(H16+A2)</f>
        <v>172.16.0.31</v>
      </c>
      <c r="D16" s="6" t="s">
        <v>35</v>
      </c>
      <c r="E16" s="6" t="str">
        <f>A2&amp;"."&amp;A2&amp;"."&amp;A2&amp;"."&amp;H16</f>
        <v>1.1.1.30</v>
      </c>
      <c r="F16" s="6"/>
      <c r="G16" s="6" t="s">
        <v>36</v>
      </c>
      <c r="H16" s="2">
        <v>30</v>
      </c>
      <c r="I16" s="2" t="b">
        <v>1</v>
      </c>
      <c r="J16" s="2"/>
    </row>
    <row r="17" spans="1:10" ht="15.75" customHeight="1" x14ac:dyDescent="0.2">
      <c r="A17" s="9"/>
      <c r="B17" s="9"/>
      <c r="C17" s="9"/>
      <c r="D17" s="9"/>
      <c r="E17" s="9"/>
      <c r="F17" s="9"/>
      <c r="G17" s="9"/>
    </row>
    <row r="18" spans="1:10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  <c r="E18" s="10" t="s">
        <v>48</v>
      </c>
      <c r="F18" s="10" t="s">
        <v>50</v>
      </c>
    </row>
    <row r="19" spans="1:10" ht="15.75" customHeight="1" x14ac:dyDescent="0.2">
      <c r="A19" s="11">
        <f>A2</f>
        <v>1</v>
      </c>
      <c r="B19" s="11" t="s">
        <v>6</v>
      </c>
      <c r="C19" s="11" t="s">
        <v>49</v>
      </c>
      <c r="D19" s="11" t="s">
        <v>7</v>
      </c>
      <c r="E19" s="11" t="s">
        <v>49</v>
      </c>
      <c r="F19" s="11">
        <v>200</v>
      </c>
    </row>
    <row r="20" spans="1:10" ht="15.75" customHeight="1" x14ac:dyDescent="0.2"/>
    <row r="21" spans="1:10" ht="15.75" customHeight="1" x14ac:dyDescent="0.2">
      <c r="A21" s="5" t="s">
        <v>40</v>
      </c>
      <c r="B21" s="5" t="s">
        <v>41</v>
      </c>
      <c r="C21" s="5" t="s">
        <v>42</v>
      </c>
      <c r="D21" s="5" t="s">
        <v>12</v>
      </c>
      <c r="E21" s="5" t="s">
        <v>13</v>
      </c>
      <c r="F21" s="5" t="s">
        <v>44</v>
      </c>
      <c r="G21" s="16" t="s">
        <v>54</v>
      </c>
      <c r="H21" s="5" t="s">
        <v>43</v>
      </c>
      <c r="I21" s="10" t="s">
        <v>1</v>
      </c>
      <c r="J21" s="10" t="s">
        <v>46</v>
      </c>
    </row>
    <row r="22" spans="1:10" ht="15.75" customHeight="1" x14ac:dyDescent="0.2">
      <c r="A22" s="6">
        <f>(ROW())-(ROW()-1)</f>
        <v>1</v>
      </c>
      <c r="B22" s="6">
        <v>10</v>
      </c>
      <c r="C22" s="6" t="str">
        <f>LEFT($G$5,LEN($G$5)-1)&amp;(RIGHT($G$5,1)+A22)</f>
        <v>10.11.0.2</v>
      </c>
      <c r="D22" s="6" t="str">
        <f>$E$5</f>
        <v>10.11.0.1</v>
      </c>
      <c r="E22" s="6" t="str">
        <f>$F$5</f>
        <v>255.255.0.0</v>
      </c>
      <c r="F22" s="6">
        <v>4</v>
      </c>
      <c r="G22" s="17">
        <v>0</v>
      </c>
      <c r="H22" s="6" t="s">
        <v>55</v>
      </c>
      <c r="I22" s="11" t="s">
        <v>45</v>
      </c>
      <c r="J22" s="11">
        <f>$F22-$G22-2</f>
        <v>2</v>
      </c>
    </row>
    <row r="23" spans="1:10" ht="15.75" customHeight="1" x14ac:dyDescent="0.2"/>
    <row r="24" spans="1:10" ht="15.75" customHeight="1" x14ac:dyDescent="0.2"/>
    <row r="25" spans="1:10" ht="15.75" customHeight="1" x14ac:dyDescent="0.2"/>
    <row r="26" spans="1:10" ht="15.75" customHeight="1" x14ac:dyDescent="0.2"/>
    <row r="27" spans="1:10" ht="15.75" customHeight="1" x14ac:dyDescent="0.2"/>
    <row r="28" spans="1:10" ht="15.75" customHeight="1" x14ac:dyDescent="0.2"/>
    <row r="29" spans="1:10" ht="15.75" customHeight="1" x14ac:dyDescent="0.2"/>
    <row r="30" spans="1:10" ht="15.75" customHeight="1" x14ac:dyDescent="0.2"/>
    <row r="31" spans="1:10" ht="15.75" customHeight="1" x14ac:dyDescent="0.2"/>
    <row r="32" spans="1:1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H22" xr:uid="{0213D721-03D5-460E-9D03-16F86217AA41}">
      <formula1>IF(H22="",TRUE,SUM(--_xlfn.TEXTAFTER(_xlfn.TEXTSPLIT(H22,"-"),"."))&lt;=J22)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1"/>
  <sheetViews>
    <sheetView tabSelected="1" workbookViewId="0">
      <pane ySplit="1" topLeftCell="A2" activePane="bottomLeft" state="frozen"/>
      <selection pane="bottomLeft" activeCell="G32" sqref="G32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51</v>
      </c>
    </row>
    <row r="2" spans="1:11" ht="15.75" customHeight="1" x14ac:dyDescent="0.2">
      <c r="A2" s="2">
        <v>2</v>
      </c>
      <c r="B2" s="2" t="s">
        <v>45</v>
      </c>
      <c r="C2" s="2" t="str">
        <f>A2&amp;"."&amp;A2&amp;"."&amp;A2&amp;".0"</f>
        <v>2.2.2.0</v>
      </c>
      <c r="D2" s="2" t="s">
        <v>6</v>
      </c>
      <c r="E2" s="2" t="s">
        <v>49</v>
      </c>
      <c r="F2" s="2" t="s">
        <v>7</v>
      </c>
      <c r="G2" s="2" t="s">
        <v>49</v>
      </c>
      <c r="H2" s="2" t="str">
        <f>'[1]Site 1 (HUB)'!H2</f>
        <v>TACACS-KEY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12" t="s">
        <v>14</v>
      </c>
      <c r="H4" s="12" t="s">
        <v>15</v>
      </c>
      <c r="I4" s="12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17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17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17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12" t="s">
        <v>29</v>
      </c>
      <c r="G14" s="12" t="s">
        <v>30</v>
      </c>
      <c r="H14" s="13" t="s">
        <v>31</v>
      </c>
      <c r="I14" s="13" t="s">
        <v>32</v>
      </c>
      <c r="J14" s="13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172&amp;"."&amp;16&amp;"."&amp;0&amp;"."&amp;(H15+A2)</f>
        <v>172.16.0.12</v>
      </c>
      <c r="D15" s="6" t="s">
        <v>35</v>
      </c>
      <c r="E15" s="6" t="str">
        <f>A2&amp;"."&amp;A2&amp;"."&amp;A2&amp;"."&amp;H15</f>
        <v>2.2.2.10</v>
      </c>
      <c r="F15" s="6"/>
      <c r="G15" s="6" t="s">
        <v>36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37</v>
      </c>
      <c r="B16" s="6" t="s">
        <v>19</v>
      </c>
      <c r="C16" s="6" t="str">
        <f>172&amp;"."&amp;16&amp;"."&amp;0&amp;"."&amp;(H16+A2)</f>
        <v>172.16.0.32</v>
      </c>
      <c r="D16" s="6" t="s">
        <v>35</v>
      </c>
      <c r="E16" s="6" t="str">
        <f>A2&amp;"."&amp;A2&amp;"."&amp;A2&amp;"."&amp;H16</f>
        <v>2.2.2.30</v>
      </c>
      <c r="F16" s="6"/>
      <c r="G16" s="6" t="s">
        <v>36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10" ht="15.75" customHeight="1" x14ac:dyDescent="0.2"/>
    <row r="18" spans="1:10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  <c r="E18" s="10" t="s">
        <v>48</v>
      </c>
    </row>
    <row r="19" spans="1:10" ht="15.75" customHeight="1" x14ac:dyDescent="0.2">
      <c r="A19" s="11">
        <f>A2</f>
        <v>2</v>
      </c>
      <c r="B19" s="11" t="s">
        <v>6</v>
      </c>
      <c r="C19" s="11" t="s">
        <v>49</v>
      </c>
      <c r="D19" s="11" t="s">
        <v>7</v>
      </c>
      <c r="E19" s="11" t="s">
        <v>49</v>
      </c>
    </row>
    <row r="20" spans="1:10" ht="15.75" customHeight="1" x14ac:dyDescent="0.2"/>
    <row r="21" spans="1:10" ht="15.75" customHeight="1" x14ac:dyDescent="0.2">
      <c r="A21" s="5" t="s">
        <v>40</v>
      </c>
      <c r="B21" s="5" t="s">
        <v>41</v>
      </c>
      <c r="C21" s="5" t="s">
        <v>42</v>
      </c>
      <c r="D21" s="5" t="s">
        <v>12</v>
      </c>
      <c r="E21" s="5" t="s">
        <v>13</v>
      </c>
      <c r="F21" s="5" t="s">
        <v>44</v>
      </c>
      <c r="G21" s="16" t="s">
        <v>54</v>
      </c>
      <c r="H21" s="5" t="s">
        <v>43</v>
      </c>
      <c r="I21" s="10" t="s">
        <v>1</v>
      </c>
      <c r="J21" s="10" t="s">
        <v>46</v>
      </c>
    </row>
    <row r="22" spans="1:10" ht="15.75" customHeight="1" x14ac:dyDescent="0.2">
      <c r="A22" s="6">
        <f>(ROW())-(ROW()-1)</f>
        <v>1</v>
      </c>
      <c r="B22" s="6">
        <v>10</v>
      </c>
      <c r="C22" s="6" t="str">
        <f>LEFT($G$5,LEN($G$5)-1)&amp;(RIGHT($G$5,1)+A22)</f>
        <v>10.12.0.2</v>
      </c>
      <c r="D22" s="6" t="str">
        <f>$E$5</f>
        <v>10.12.0.1</v>
      </c>
      <c r="E22" s="6" t="str">
        <f>$F$5</f>
        <v>255.255.0.0</v>
      </c>
      <c r="F22" s="6">
        <v>4</v>
      </c>
      <c r="G22" s="17">
        <v>1</v>
      </c>
      <c r="H22" s="6">
        <v>20.100000000000001</v>
      </c>
      <c r="I22" s="11" t="s">
        <v>45</v>
      </c>
      <c r="J22" s="11">
        <f>$F22-$G22-2</f>
        <v>1</v>
      </c>
    </row>
    <row r="23" spans="1:10" ht="15.75" customHeight="1" x14ac:dyDescent="0.2">
      <c r="A23" s="17">
        <v>2</v>
      </c>
      <c r="B23" s="17">
        <v>10</v>
      </c>
      <c r="C23" s="17" t="str">
        <f>LEFT($G$5,LEN($G$5)-1)&amp;(RIGHT($G$5,1)+A23)</f>
        <v>10.12.0.3</v>
      </c>
      <c r="D23" s="17" t="str">
        <f>$E$5</f>
        <v>10.12.0.1</v>
      </c>
      <c r="E23" s="17" t="str">
        <f>$F$5</f>
        <v>255.255.0.0</v>
      </c>
      <c r="F23" s="6">
        <v>4</v>
      </c>
      <c r="G23" s="17">
        <v>2</v>
      </c>
      <c r="H23" s="6" t="s">
        <v>56</v>
      </c>
      <c r="I23" s="18" t="s">
        <v>45</v>
      </c>
      <c r="J23" s="18">
        <f>$F23-$G23-2</f>
        <v>0</v>
      </c>
    </row>
    <row r="24" spans="1:10" ht="15.75" customHeight="1" x14ac:dyDescent="0.2"/>
    <row r="25" spans="1:10" ht="15.75" customHeight="1" x14ac:dyDescent="0.2"/>
    <row r="26" spans="1:10" ht="15.75" customHeight="1" x14ac:dyDescent="0.2"/>
    <row r="27" spans="1:10" ht="15.75" customHeight="1" x14ac:dyDescent="0.2"/>
    <row r="28" spans="1:10" ht="15.75" customHeight="1" x14ac:dyDescent="0.2"/>
    <row r="29" spans="1:10" ht="15.75" customHeight="1" x14ac:dyDescent="0.2"/>
    <row r="30" spans="1:10" ht="15.75" customHeight="1" x14ac:dyDescent="0.2"/>
    <row r="31" spans="1:10" ht="15.75" customHeight="1" x14ac:dyDescent="0.2"/>
    <row r="32" spans="1:1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</sheetData>
  <dataValidations count="1">
    <dataValidation type="custom" allowBlank="1" showInputMessage="1" showErrorMessage="1" sqref="H22:H23" xr:uid="{07CB81F7-954F-417C-B7DA-44BD8E0C261B}">
      <formula1>IF(H22="",TRUE,SUM(--_xlfn.TEXTAFTER(_xlfn.TEXTSPLIT(H22,"-"),"."))&lt;=J22)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2026-09-06T19:38:51Z</dcterms:modified>
</cp:coreProperties>
</file>