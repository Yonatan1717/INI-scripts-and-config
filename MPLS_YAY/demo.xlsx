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2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e4de4e56104a7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ite 1 (HUB)" sheetId="1" r:id="R5849dc91c8984e21"/>
    <x:sheet xmlns:r="http://schemas.openxmlformats.org/officeDocument/2006/relationships" name="Site 2" sheetId="2" r:id="R19b69bacae9845a5"/>
  </x:sheets>
</x:workbook>
</file>

<file path=xl/sharedStrings.xml><?xml version="1.0" encoding="utf-8"?>
<x:sst xmlns:x="http://schemas.openxmlformats.org/spreadsheetml/2006/main">
  <x:si>
    <x:t xml:space="preserve">site</x:t>
  </x:si>
  <x:si>
    <x:t xml:space="preserve">intf_prefix</x:t>
  </x:si>
  <x:si>
    <x:t xml:space="preserve">router-id</x:t>
  </x:si>
  <x:si>
    <x:t xml:space="preserve">brukernavn</x:t>
  </x:si>
  <x:si>
    <x:t xml:space="preserve">passord</x:t>
  </x:si>
  <x:si>
    <x:t xml:space="preserve">vty_lines</x:t>
  </x:si>
  <x:si>
    <x:t xml:space="preserve">secret</x:t>
  </x:si>
  <x:si>
    <x:t xml:space="preserve">tacacs_key</x:t>
  </x:si>
  <x:si>
    <x:t xml:space="preserve">DHCP</x:t>
  </x:si>
  <x:si>
    <x:t xml:space="preserve">g0/</x:t>
  </x:si>
  <x:si>
    <x:t xml:space="preserve">admin</x:t>
  </x:si>
  <x:si>
    <x:t xml:space="preserve">$9$0nNdTjfcaOQFlP$4VgON16XmZXlfGr4BcOzEN7OoRxfPIAcXDQ0afwx67k</x:t>
  </x:si>
  <x:si>
    <x:t xml:space="preserve">0 - 4</x:t>
  </x:si>
  <x:si>
    <x:t xml:space="preserve">TACACS-KEY</x:t>
  </x:si>
  <x:si>
    <x:t xml:space="preserve">vrf</x:t>
  </x:si>
  <x:si>
    <x:t xml:space="preserve">vlan</x:t>
  </x:si>
  <x:si>
    <x:t xml:space="preserve">interface</x:t>
  </x:si>
  <x:si>
    <x:t xml:space="preserve">nett id</x:t>
  </x:si>
  <x:si>
    <x:t xml:space="preserve">gateway</x:t>
  </x:si>
  <x:si>
    <x:t xml:space="preserve">mask</x:t>
  </x:si>
  <x:si>
    <x:t xml:space="preserve">address min</x:t>
  </x:si>
  <x:si>
    <x:t xml:space="preserve">address max</x:t>
  </x:si>
  <x:si>
    <x:t xml:space="preserve">antall-res</x:t>
  </x:si>
  <x:si>
    <x:t xml:space="preserve">pri-afxx</x:t>
  </x:si>
  <x:si>
    <x:t xml:space="preserve">pri-1-10</x:t>
  </x:si>
  <x:si>
    <x:t xml:space="preserve">MGMT</x:t>
  </x:si>
  <x:si>
    <x:t xml:space="preserve">255.255.0.0</x:t>
  </x:si>
  <x:si>
    <x:t xml:space="preserve">INET</x:t>
  </x:si>
  <x:si>
    <x:t xml:space="preserve">UNET</x:t>
  </x:si>
  <x:si>
    <x:t xml:space="preserve">rt</x:t>
  </x:si>
  <x:si>
    <x:t xml:space="preserve">loopback</x:t>
  </x:si>
  <x:si>
    <x:t xml:space="preserve">laddr</x:t>
  </x:si>
  <x:si>
    <x:t xml:space="preserve">1337:10</x:t>
  </x:si>
  <x:si>
    <x:t xml:space="preserve">1337:20</x:t>
  </x:si>
  <x:si>
    <x:t xml:space="preserve">1337:30</x:t>
  </x:si>
  <x:si>
    <x:t xml:space="preserve">tunnel id</x:t>
  </x:si>
  <x:si>
    <x:t xml:space="preserve">ip address</x:t>
  </x:si>
  <x:si>
    <x:t xml:space="preserve">source</x:t>
  </x:si>
  <x:si>
    <x:t xml:space="preserve">destination</x:t>
  </x:si>
  <x:si>
    <x:t xml:space="preserve">gre mode</x:t>
  </x:si>
  <x:si>
    <x:t xml:space="preserve">network-id</x:t>
  </x:si>
  <x:si>
    <x:t xml:space="preserve">ipsec</x:t>
  </x:si>
  <x:si>
    <x:t xml:space="preserve">ipsec key</x:t>
  </x:si>
  <x:si>
    <x:t xml:space="preserve">tunnel 10</x:t>
  </x:si>
  <x:si>
    <x:t xml:space="preserve">255.255.255.0</x:t>
  </x:si>
  <x:si>
    <x:t xml:space="preserve">multipoint</x:t>
  </x:si>
  <x:si>
    <x:t xml:space="preserve">tunnel 30</x:t>
  </x:si>
  <x:si>
    <x:t xml:space="preserve">ISP-VLAN</x:t>
  </x:si>
  <x:si>
    <x:t xml:space="preserve">SW</x:t>
  </x:si>
  <x:si>
    <x:t xml:space="preserve">MGMT Vlan</x:t>
  </x:si>
  <x:si>
    <x:t xml:space="preserve">MGMT ip</x:t>
  </x:si>
</x:sst>
</file>

<file path=xl/styles.xml><?xml version="1.0" encoding="utf-8"?>
<x:styleSheet xmlns:x="http://schemas.openxmlformats.org/spreadsheetml/2006/main">
  <x:fonts count="13">
    <x:font>
      <x:sz val="10"/>
      <x:color rgb="FF000000"/>
      <x:name val="Arial"/>
    </x:font>
    <x:font>
      <x:sz val="10"/>
      <x:color theme="1"/>
      <x:name val="Arial"/>
    </x:font>
    <x:font>
      <x:b/>
      <x:sz val="11"/>
      <x:color rgb="FF000000"/>
      <x:name val="Arial"/>
    </x:font>
    <x:font>
      <x:b/>
      <x:sz val="11"/>
      <x:color theme="1"/>
      <x:name val="Arial"/>
    </x:font>
    <x:font>
      <x:sz val="11"/>
      <x:color rgb="FF000000"/>
      <x:name val="Arial"/>
    </x:font>
    <x:font>
      <x:sz val="11"/>
      <x:color theme="1"/>
      <x:name val="Arial"/>
    </x:font>
    <x:font>
      <x:sz val="8"/>
      <x:name val="Arial"/>
    </x:font>
    <x:font>
      <x:b/>
      <x:sz val="11"/>
      <x:color theme="1"/>
      <x:name val="Arial"/>
    </x:font>
    <x:font>
      <x:b/>
      <x:sz val="10"/>
      <x:color theme="1"/>
      <x:name val="Arial"/>
    </x:font>
    <x:font>
      <x:b/>
      <x:sz val="10"/>
      <x:color rgb="FF000000"/>
      <x:name val="Arial"/>
    </x:font>
    <x:font>
      <x:sz val="10"/>
      <x:color rgb="FF000000"/>
      <x:name val="Arial"/>
    </x:font>
    <x:font>
      <x:sz val="11"/>
      <x:color rgb="FF000000"/>
      <x:name val="Arial"/>
    </x:font>
    <x:font>
      <x:sz val="10"/>
      <x:color theme="1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4285F4"/>
      </x:patternFill>
    </x:fill>
    <x:fill>
      <x:patternFill patternType="solid">
        <x:fgColor rgb="FFD2E3FC"/>
      </x:patternFill>
    </x:fill>
  </x:fills>
  <x:borders count="2">
    <x:border/>
    <x:border/>
  </x:borders>
  <x:cellStyleXfs count="1">
    <x:xf numFmtId="0" fontId="0" fillId="0" borderId="0"/>
  </x:cellStyleXfs>
  <x:cellXfs count="66">
    <x:xf numFmtId="0" fontId="0" fillId="0" borderId="0" xfId="0"/>
    <x:xf numFmtId="0" fontId="1" fillId="0" borderId="0" xfId="0" applyFont="1" applyAlignment="1">
      <x:alignment horizontal="left" vertical="center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horizontal="left" wrapText="1"/>
    </x:xf>
    <x:xf numFmtId="0" fontId="3" fillId="0" borderId="0" xfId="0" applyFont="1" applyAlignment="1">
      <x:alignment wrapText="1"/>
    </x:xf>
    <x:xf numFmtId="0" fontId="3" fillId="0" borderId="0" xfId="0" applyFont="1" applyAlignment="1">
      <x:alignment horizontal="left" vertical="center" wrapText="1"/>
    </x:xf>
    <x:xf numFmtId="0" fontId="4" fillId="0" borderId="0" xfId="0" applyFont="1" applyAlignment="1">
      <x:alignment horizontal="left" vertical="center" wrapText="1"/>
    </x:xf>
    <x:xf numFmtId="0" fontId="5" fillId="0" borderId="0" xfId="0" applyFont="1" applyAlignment="1">
      <x:alignment vertical="center" wrapText="1"/>
    </x:xf>
    <x:xf numFmtId="0" fontId="1" fillId="0" borderId="0" xfId="0" applyFont="1" applyAlignment="1">
      <x:alignment horizontal="left"/>
    </x:xf>
    <x:xf numFmtId="0" fontId="4" fillId="0" borderId="0" xfId="0" applyFont="1" applyAlignment="1">
      <x:alignment horizontal="left" wrapText="1"/>
    </x:xf>
    <x:xf numFmtId="0" fontId="1" fillId="0" borderId="0" xfId="0" applyFont="1" applyAlignment="1">
      <x:alignment horizontal="left" vertical="center" wrapText="1"/>
    </x:xf>
    <x:xf numFmtId="0" fontId="1" fillId="0" borderId="0" xfId="0" applyFont="1" applyAlignment="1">
      <x:alignment vertical="center" wrapText="1"/>
    </x:xf>
    <x:xf numFmtId="0" fontId="7" fillId="0" borderId="0" xfId="0" applyFont="1" applyAlignment="1">
      <x:alignment horizontal="left" vertical="center" wrapText="1"/>
    </x:xf>
    <x:xf numFmtId="0" fontId="8" fillId="0" borderId="0" xfId="0" applyFont="1" applyAlignment="1">
      <x:alignment horizontal="left" vertical="center"/>
    </x:xf>
    <x:xf numFmtId="0" fontId="9" fillId="0" borderId="0" xfId="0" applyFont="1"/>
    <x:xf numFmtId="0" fontId="10" fillId="0" borderId="0" xfId="0" applyFont="1"/>
    <x:xf numFmtId="0" fontId="0" fillId="0" borderId="0" xfId="0" applyAlignment="1">
      <x:alignment wrapText="1"/>
    </x:xf>
    <x:xf numFmtId="0" fontId="11" fillId="0" borderId="0" xfId="0" applyFont="1" applyAlignment="1">
      <x:alignment horizontal="left" vertical="center" wrapText="1"/>
    </x:xf>
    <x:xf numFmtId="0" fontId="12" fillId="0" borderId="0" xfId="0" applyFont="1" applyAlignment="1">
      <x:alignment vertical="center" wrapText="1"/>
    </x:xf>
    <x:xf numFmtId="0" fontId="0" fillId="0" borderId="1" xfId="0" applyNumberFormat="1" applyFont="1" applyFill="1" applyBorder="1"/>
    <x:xf numFmtId="0" fontId="1" fillId="0" borderId="1" xfId="0" applyNumberFormat="1" applyFont="1" applyFill="1" applyBorder="1" applyAlignment="1">
      <x:alignment horizontal="left"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horizontal="left" wrapText="1"/>
    </x:xf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horizontal="left" vertical="center" wrapText="1"/>
    </x:xf>
    <x:xf numFmtId="0" fontId="4" fillId="0" borderId="1" xfId="0" applyNumberFormat="1" applyFont="1" applyFill="1" applyBorder="1" applyAlignment="1">
      <x:alignment horizontal="left" vertical="center" wrapText="1"/>
    </x:xf>
    <x:xf numFmtId="0" fontId="5" fillId="0" borderId="1" xfId="0" applyNumberFormat="1" applyFont="1" applyFill="1" applyBorder="1" applyAlignment="1">
      <x:alignment vertical="center" wrapText="1"/>
    </x:xf>
    <x:xf numFmtId="0" fontId="1" fillId="0" borderId="1" xfId="0" applyNumberFormat="1" applyFont="1" applyFill="1" applyBorder="1" applyAlignment="1">
      <x:alignment horizontal="left"/>
    </x:xf>
    <x:xf numFmtId="0" fontId="4" fillId="0" borderId="1" xfId="0" applyNumberFormat="1" applyFont="1" applyFill="1" applyBorder="1" applyAlignment="1">
      <x:alignment horizontal="left" wrapText="1"/>
    </x:xf>
    <x:xf numFmtId="0" fontId="1" fillId="0" borderId="1" xfId="0" applyNumberFormat="1" applyFont="1" applyFill="1" applyBorder="1" applyAlignment="1">
      <x:alignment horizontal="left" vertical="center" wrapText="1"/>
    </x:xf>
    <x:xf numFmtId="0" fontId="1" fillId="0" borderId="1" xfId="0" applyNumberFormat="1" applyFont="1" applyFill="1" applyBorder="1" applyAlignment="1">
      <x:alignment vertical="center" wrapText="1"/>
    </x:xf>
    <x:xf numFmtId="0" fontId="8" fillId="0" borderId="1" xfId="0" applyNumberFormat="1" applyFont="1" applyFill="1" applyBorder="1" applyAlignment="1">
      <x:alignment horizontal="left" vertical="center"/>
    </x:xf>
    <x:xf numFmtId="0" fontId="9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2" borderId="0" xfId="0" applyNumberFormat="1" applyFont="1" applyFill="1" applyBorder="1"/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left"/>
    </x:xf>
    <x:xf numFmtId="0" fontId="9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9" fillId="2" borderId="1" xfId="0" applyNumberFormat="1" applyFont="1" applyFill="1" applyBorder="1"/>
    <x:xf numFmtId="0" fontId="9" fillId="2" borderId="1" xfId="0" applyNumberFormat="1" applyFont="1" applyFill="1" applyBorder="1" applyAlignment="1">
      <x:alignment horizontal="left"/>
    </x:xf>
    <x:xf numFmtId="0" fontId="9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0" fillId="3" borderId="0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/>
    <x:xf numFmtId="0" fontId="0" fillId="3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9" fillId="2" borderId="0" xfId="0" applyNumberFormat="1" applyFont="1" applyFill="1" applyBorder="1" applyAlignment="1">
      <x:alignment horizontal="left" vertical="center" wrapText="1"/>
    </x:xf>
    <x:xf numFmtId="0" fontId="1" fillId="2" borderId="1" xfId="0" applyNumberFormat="1" applyFont="1" applyFill="1" applyBorder="1" applyAlignment="1">
      <x:alignment horizontal="left" vertical="center" wrapText="1"/>
    </x:xf>
    <x:xf numFmtId="0" fontId="9" fillId="2" borderId="1" xfId="0" applyNumberFormat="1" applyFont="1" applyFill="1" applyBorder="1" applyAlignment="1">
      <x:alignment horizontal="left"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1" fillId="3" borderId="1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left" vertical="center" wrapText="1"/>
    </x:xf>
    <x:xf numFmtId="0" fontId="0" fillId="2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 applyAlignment="1">
      <x:alignment horizontal="left" wrapText="1"/>
    </x:xf>
    <x:xf numFmtId="0" fontId="3" fillId="2" borderId="1" xfId="0" applyNumberFormat="1" applyFont="1" applyFill="1" applyBorder="1" applyAlignment="1">
      <x:alignment horizontal="left" vertical="center" wrapText="1"/>
    </x:xf>
    <x:xf numFmtId="0" fontId="0" fillId="2" borderId="1" xfId="0" applyNumberFormat="1" applyFont="1" applyFill="1" applyBorder="1" applyAlignment="1">
      <x:alignment wrapText="1"/>
    </x:xf>
    <x:xf numFmtId="0" fontId="9" fillId="2" borderId="1" xfId="0" applyNumberFormat="1" applyFont="1" applyFill="1" applyBorder="1" applyAlignment="1">
      <x:alignment wrapText="1"/>
    </x:xf>
    <x:xf numFmtId="0" fontId="9" fillId="2" borderId="1" xfId="0" applyNumberFormat="1" applyFont="1" applyFill="1" applyBorder="1" applyAlignment="1">
      <x:alignment horizontal="left" wrapText="1"/>
    </x:xf>
    <x:xf numFmtId="0" fontId="4" fillId="3" borderId="0" xfId="0" applyNumberFormat="1" applyFont="1" applyFill="1" applyBorder="1" applyAlignment="1">
      <x:alignment horizontal="left" vertical="center" wrapText="1"/>
    </x:xf>
    <x:xf numFmtId="0" fontId="0" fillId="3" borderId="0" xfId="0" applyNumberFormat="1" applyFont="1" applyFill="1" applyBorder="1" applyAlignment="1">
      <x:alignment horizontal="left" vertical="center" wrapText="1"/>
    </x:xf>
    <x:xf numFmtId="0" fontId="4" fillId="3" borderId="1" xfId="0" applyNumberFormat="1" applyFont="1" applyFill="1" applyBorder="1" applyAlignment="1">
      <x:alignment horizontal="left" vertical="center" wrapText="1"/>
    </x:xf>
    <x:xf numFmtId="0" fontId="0" fillId="3" borderId="1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  <x:dxfs count="136">
    <x:dxf>
      <x:numFmt numFmtId="0" formatCode="General"/>
    </x:dxf>
    <x:dxf>
      <x:numFmt numFmtId="0" formatCode="General"/>
    </x:dxf>
    <x:dxf/>
    <x:dxf/>
    <x:dxf/>
    <x:dxf/>
    <x:dxf/>
    <x:dxf/>
    <x:dxf>
      <x:font>
        <x:color theme="1"/>
      </x:font>
    </x:dxf>
    <x:dxf/>
    <x:dxf/>
    <x:dxf/>
    <x:dxf>
      <x:font>
        <x:u val="none"/>
        <x:sz val="10"/>
        <x:color theme="1"/>
        <x:name val="Arial"/>
        <x:scheme val="none"/>
      </x:font>
    </x:dxf>
    <x:dxf>
      <x:font>
        <x:u val="none"/>
        <x:sz val="10"/>
        <x:color theme="1"/>
        <x:name val="Arial"/>
        <x:scheme val="none"/>
      </x:font>
    </x:dxf>
    <x:dxf>
      <x:font>
        <x:u val="none"/>
        <x:sz val="10"/>
        <x:color theme="1"/>
        <x:name val="Arial"/>
        <x:scheme val="none"/>
      </x:font>
    </x:dxf>
    <x:dxf>
      <x:font>
        <x:color theme="1"/>
      </x:font>
      <x:numFmt numFmtId="0" formatCode="General"/>
    </x:dxf>
    <x:dxf>
      <x:font>
        <x:u val="none"/>
        <x:sz val="10"/>
        <x:color theme="1"/>
        <x:name val="Arial"/>
        <x:scheme val="none"/>
      </x:font>
    </x:dxf>
    <x:dxf>
      <x:font>
        <x:color theme="1"/>
      </x:font>
    </x:dxf>
    <x:dxf>
      <x:font>
        <x:u val="none"/>
        <x:sz val="11"/>
        <x:color rgb="FF000000"/>
        <x:name val="Arial"/>
        <x:scheme val="none"/>
      </x:font>
    </x:dxf>
    <x:dxf>
      <x:font>
        <x:sz val="11"/>
        <x:color theme="1"/>
      </x:font>
    </x:dxf>
    <x:dxf>
      <x:font>
        <x:sz val="11"/>
      </x:font>
    </x:dxf>
    <x:dxf>
      <x:font>
        <x:u val="none"/>
        <x:sz val="11"/>
        <x:color rgb="FF000000"/>
        <x:name val="Arial"/>
        <x:scheme val="none"/>
      </x:font>
    </x:dxf>
    <x:dxf>
      <x:font>
        <x:u val="none"/>
        <x:sz val="11"/>
        <x:color rgb="FF000000"/>
        <x:name val="Arial"/>
        <x:scheme val="none"/>
      </x:font>
    </x:dxf>
    <x:dxf>
      <x:font>
        <x:u val="none"/>
        <x:sz val="11"/>
        <x:color rgb="FF000000"/>
        <x:name val="Arial"/>
        <x:scheme val="none"/>
      </x:font>
    </x:dxf>
    <x:dxf>
      <x:font>
        <x:sz val="11"/>
      </x:font>
    </x:dxf>
    <x:dxf>
      <x:font>
        <x:u val="none"/>
        <x:sz val="11"/>
        <x:color rgb="FF000000"/>
        <x:name val="Arial"/>
        <x:scheme val="none"/>
      </x:font>
    </x:dxf>
    <x:dxf>
      <x:font>
        <x:sz val="11"/>
      </x:font>
      <x:numFmt numFmtId="0" formatCode="General"/>
    </x:dxf>
    <x:dxf>
      <x:font>
        <x:u val="none"/>
        <x:sz val="11"/>
        <x:color rgb="FF000000"/>
        <x:name val="Arial"/>
        <x:scheme val="none"/>
      </x:font>
    </x:dxf>
    <x:dxf>
      <x:font>
        <x:sz val="11"/>
      </x:font>
      <x:numFmt numFmtId="0" formatCode="General"/>
    </x:dxf>
    <x:dxf>
      <x:font>
        <x:u val="none"/>
        <x:sz val="11"/>
        <x:color rgb="FF000000"/>
        <x:name val="Arial"/>
        <x:scheme val="none"/>
      </x:font>
    </x:dxf>
    <x:dxf>
      <x:font>
        <x:sz val="11"/>
      </x:font>
    </x:dxf>
    <x:dxf>
      <x:font>
        <x:u val="none"/>
        <x:sz val="11"/>
        <x:color rgb="FF000000"/>
        <x:name val="Arial"/>
        <x:scheme val="minor"/>
      </x:font>
    </x:dxf>
    <x:dxf>
      <x:font>
        <x:sz val="11"/>
      </x:font>
    </x:dxf>
    <x:dxf/>
    <x:dxf/>
    <x:dxf/>
    <x:dxf>
      <x:font>
        <x:color theme="1"/>
      </x:font>
    </x:dxf>
    <x:dxf/>
    <x:dxf>
      <x:font>
        <x:color theme="1"/>
      </x:font>
    </x:dxf>
    <x:dxf>
      <x:font>
        <x:color theme="1"/>
      </x:font>
    </x:dxf>
    <x:dxf>
      <x:font>
        <x:color theme="1"/>
      </x:font>
    </x:dxf>
    <x:dxf>
      <x:font>
        <x:color theme="1"/>
      </x:font>
    </x:dxf>
    <x:dxf>
      <x:font>
        <x:color theme="1"/>
      </x:font>
    </x:dxf>
    <x:dxf/>
    <x:dxf>
      <x:font>
        <x:color theme="1"/>
      </x:font>
    </x:dxf>
    <x:dxf>
      <x:font>
        <x:u val="none"/>
        <x:sz val="10"/>
        <x:color theme="1"/>
        <x:name val="Arial"/>
        <x:scheme val="none"/>
      </x:font>
    </x:dxf>
    <x:dxf>
      <x:font>
        <x:u val="none"/>
        <x:sz val="11"/>
        <x:color rgb="FF000000"/>
        <x:name val="Arial"/>
        <x:scheme val="none"/>
      </x:font>
    </x:dxf>
    <x:dxf>
      <x:font>
        <x:u val="none"/>
        <x:sz val="10"/>
        <x:color theme="1"/>
        <x:name val="Arial"/>
        <x:scheme val="none"/>
      </x:font>
    </x:dxf>
    <x:dxf>
      <x:font>
        <x:u val="none"/>
        <x:sz val="10"/>
        <x:color theme="1"/>
        <x:name val="Arial"/>
        <x:scheme val="none"/>
      </x:font>
    </x:dxf>
    <x:dxf>
      <x:font>
        <x:u val="none"/>
        <x:sz val="10"/>
        <x:color theme="1"/>
        <x:name val="Arial"/>
        <x:scheme val="none"/>
      </x:font>
    </x:dxf>
    <x:dxf>
      <x:font>
        <x:u val="none"/>
        <x:sz val="10"/>
        <x:color theme="1"/>
        <x:name val="Arial"/>
        <x:scheme val="none"/>
      </x:font>
    </x:dxf>
    <x:dxf>
      <x:font>
        <x:color theme="1"/>
      </x:font>
      <x:numFmt numFmtId="0" formatCode="General"/>
    </x:dxf>
    <x:dxf>
      <x:font>
        <x:u val="none"/>
        <x:sz val="10"/>
        <x:color theme="1"/>
        <x:name val="Arial"/>
        <x:scheme val="none"/>
      </x:font>
    </x:dxf>
    <x:dxf>
      <x:font>
        <x:color theme="1"/>
      </x:font>
    </x:dxf>
    <x:dxf>
      <x:font>
        <x:u val="none"/>
        <x:sz val="11"/>
        <x:color rgb="FF000000"/>
        <x:name val="Arial"/>
        <x:scheme val="none"/>
      </x:font>
    </x:dxf>
    <x:dxf>
      <x:font>
        <x:sz val="11"/>
        <x:color theme="1"/>
      </x:font>
    </x:dxf>
    <x:dxf>
      <x:font>
        <x:sz val="11"/>
      </x:font>
    </x:dxf>
    <x:dxf>
      <x:font>
        <x:u val="none"/>
        <x:sz val="11"/>
        <x:color rgb="FF000000"/>
        <x:name val="Arial"/>
        <x:scheme val="none"/>
      </x:font>
    </x:dxf>
    <x:dxf>
      <x:font>
        <x:u val="none"/>
        <x:sz val="11"/>
        <x:color rgb="FF000000"/>
        <x:name val="Arial"/>
        <x:scheme val="none"/>
      </x:font>
    </x:dxf>
    <x:dxf>
      <x:font>
        <x:u val="none"/>
        <x:sz val="11"/>
        <x:color rgb="FF000000"/>
        <x:name val="Arial"/>
        <x:scheme val="none"/>
      </x:font>
    </x:dxf>
    <x:dxf>
      <x:font>
        <x:sz val="11"/>
      </x:font>
    </x:dxf>
    <x:dxf>
      <x:font>
        <x:u val="none"/>
        <x:sz val="11"/>
        <x:color rgb="FF000000"/>
        <x:name val="Arial"/>
        <x:scheme val="none"/>
      </x:font>
    </x:dxf>
    <x:dxf>
      <x:font>
        <x:sz val="11"/>
      </x:font>
      <x:numFmt numFmtId="0" formatCode="General"/>
    </x:dxf>
    <x:dxf>
      <x:font>
        <x:u val="none"/>
        <x:sz val="11"/>
        <x:color rgb="FF000000"/>
        <x:name val="Arial"/>
        <x:scheme val="none"/>
      </x:font>
    </x:dxf>
    <x:dxf>
      <x:font>
        <x:sz val="11"/>
      </x:font>
      <x:numFmt numFmtId="0" formatCode="General"/>
    </x:dxf>
    <x:dxf>
      <x:font>
        <x:u val="none"/>
        <x:sz val="11"/>
        <x:color rgb="FF000000"/>
        <x:name val="Arial"/>
        <x:scheme val="none"/>
      </x:font>
    </x:dxf>
    <x:dxf>
      <x:font>
        <x:sz val="11"/>
      </x:font>
    </x:dxf>
    <x:dxf>
      <x:font>
        <x:u val="none"/>
        <x:sz val="11"/>
        <x:color rgb="FF000000"/>
        <x:name val="Arial"/>
        <x:scheme val="minor"/>
      </x:font>
    </x:dxf>
    <x:dxf>
      <x:font>
        <x:sz val="11"/>
      </x:font>
    </x:dxf>
    <x:dxf/>
    <x:dxf/>
    <x:dxf>
      <x:font>
        <x:u val="none"/>
        <x:sz val="11"/>
        <x:color rgb="FF000000"/>
        <x:name val="Arial"/>
        <x:scheme val="none"/>
      </x:font>
    </x:dxf>
    <x:dxf>
      <x:fill>
        <x:patternFill>
          <x:bgColor rgb="FFF6F8F9"/>
        </x:patternFill>
      </x:fill>
    </x:dxf>
    <x:dxf>
      <x:fill>
        <x:patternFill>
          <x:bgColor rgb="FFFFFFFF"/>
        </x:patternFill>
      </x:fill>
    </x:dxf>
    <x:dxf>
      <x:fill>
        <x:patternFill>
          <x:bgColor rgb="FF356854"/>
        </x:patternFill>
      </x:fill>
    </x:dxf>
    <x:dxf>
      <x:border>
        <x:left style="thin">
          <x:color rgb="FF356854"/>
        </x:left>
        <x:right style="thin">
          <x:color rgb="FF356854"/>
        </x:right>
        <x:top style="thin">
          <x:color rgb="FF356854"/>
        </x:top>
        <x:bottom style="thin">
          <x:color rgb="FF356854"/>
        </x:bottom>
      </x:border>
    </x:dxf>
    <x:dxf>
      <x:fill>
        <x:patternFill>
          <x:bgColor rgb="FFF6F8F9"/>
        </x:patternFill>
      </x:fill>
    </x:dxf>
    <x:dxf>
      <x:fill>
        <x:patternFill>
          <x:bgColor rgb="FFFFFFFF"/>
        </x:patternFill>
      </x:fill>
    </x:dxf>
    <x:dxf>
      <x:fill>
        <x:patternFill>
          <x:bgColor rgb="FF356854"/>
        </x:patternFill>
      </x:fill>
    </x:dxf>
    <x:dxf>
      <x:border>
        <x:left style="thin">
          <x:color rgb="FF356854"/>
        </x:left>
        <x:right style="thin">
          <x:color rgb="FF356854"/>
        </x:right>
        <x:top style="thin">
          <x:color rgb="FF356854"/>
        </x:top>
        <x:bottom style="thin">
          <x:color rgb="FF356854"/>
        </x:bottom>
      </x:border>
    </x:dxf>
    <x:dxf>
      <x:fill>
        <x:patternFill>
          <x:bgColor rgb="FFF6F8F9"/>
        </x:patternFill>
      </x:fill>
    </x:dxf>
    <x:dxf>
      <x:fill>
        <x:patternFill>
          <x:bgColor rgb="FFFFFFFF"/>
        </x:patternFill>
      </x:fill>
    </x:dxf>
    <x:dxf>
      <x:fill>
        <x:patternFill>
          <x:bgColor rgb="FF356854"/>
        </x:patternFill>
      </x:fill>
    </x:dxf>
    <x:dxf>
      <x:border>
        <x:left style="thin">
          <x:color rgb="FF356854"/>
        </x:left>
        <x:right style="thin">
          <x:color rgb="FF356854"/>
        </x:right>
        <x:top style="thin">
          <x:color rgb="FF356854"/>
        </x:top>
        <x:bottom style="thin">
          <x:color rgb="FF356854"/>
        </x:bottom>
      </x:border>
    </x:dxf>
    <x:dxf>
      <x:fill>
        <x:patternFill>
          <x:bgColor rgb="FFF6F8F9"/>
        </x:patternFill>
      </x:fill>
    </x:dxf>
    <x:dxf>
      <x:fill>
        <x:patternFill>
          <x:bgColor rgb="FFFFFFFF"/>
        </x:patternFill>
      </x:fill>
    </x:dxf>
    <x:dxf>
      <x:fill>
        <x:patternFill>
          <x:bgColor rgb="FF356854"/>
        </x:patternFill>
      </x:fill>
    </x:dxf>
    <x:dxf>
      <x:border>
        <x:left style="thin">
          <x:color rgb="FF356854"/>
        </x:left>
        <x:right style="thin">
          <x:color rgb="FF356854"/>
        </x:right>
        <x:top style="thin">
          <x:color rgb="FF356854"/>
        </x:top>
        <x:bottom style="thin">
          <x:color rgb="FF356854"/>
        </x:bottom>
      </x:border>
    </x:dxf>
    <x:dxf>
      <x:fill>
        <x:patternFill>
          <x:bgColor rgb="FFF6F8F9"/>
        </x:patternFill>
      </x:fill>
    </x:dxf>
    <x:dxf>
      <x:fill>
        <x:patternFill>
          <x:bgColor rgb="FFFFFFFF"/>
        </x:patternFill>
      </x:fill>
    </x:dxf>
    <x:dxf>
      <x:fill>
        <x:patternFill>
          <x:bgColor rgb="FF356854"/>
        </x:patternFill>
      </x:fill>
    </x:dxf>
    <x:dxf>
      <x:border>
        <x:left style="thin">
          <x:color rgb="FF356854"/>
        </x:left>
        <x:right style="thin">
          <x:color rgb="FF356854"/>
        </x:right>
        <x:top style="thin">
          <x:color rgb="FF356854"/>
        </x:top>
        <x:bottom style="thin">
          <x:color rgb="FF356854"/>
        </x:bottom>
      </x:border>
    </x:dxf>
    <x:dxf>
      <x:fill>
        <x:patternFill>
          <x:bgColor rgb="FFF6F8F9"/>
        </x:patternFill>
      </x:fill>
    </x:dxf>
    <x:dxf>
      <x:fill>
        <x:patternFill>
          <x:bgColor rgb="FFFFFFFF"/>
        </x:patternFill>
      </x:fill>
    </x:dxf>
    <x:dxf>
      <x:fill>
        <x:patternFill>
          <x:bgColor rgb="FF356854"/>
        </x:patternFill>
      </x:fill>
    </x:dxf>
    <x:dxf>
      <x:border>
        <x:left style="thin">
          <x:color rgb="FF356854"/>
        </x:left>
        <x:right style="thin">
          <x:color rgb="FF356854"/>
        </x:right>
        <x:top style="thin">
          <x:color rgb="FF356854"/>
        </x:top>
        <x:bottom style="thin">
          <x:color rgb="FF356854"/>
        </x:bottom>
      </x:border>
    </x:dxf>
    <x:dxf>
      <x:fill>
        <x:patternFill>
          <x:bgColor rgb="FFF6F8F9"/>
        </x:patternFill>
      </x:fill>
    </x:dxf>
    <x:dxf>
      <x:fill>
        <x:patternFill>
          <x:bgColor rgb="FFFFFFFF"/>
        </x:patternFill>
      </x:fill>
    </x:dxf>
    <x:dxf>
      <x:fill>
        <x:patternFill>
          <x:bgColor rgb="FF356854"/>
        </x:patternFill>
      </x:fill>
    </x:dxf>
    <x:dxf>
      <x:border>
        <x:left style="thin">
          <x:color rgb="FF356854"/>
        </x:left>
        <x:right style="thin">
          <x:color rgb="FF356854"/>
        </x:right>
        <x:top style="thin">
          <x:color rgb="FF356854"/>
        </x:top>
        <x:bottom style="thin">
          <x:color rgb="FF356854"/>
        </x:bottom>
      </x:border>
    </x:dxf>
    <x:dxf>
      <x:fill>
        <x:patternFill>
          <x:bgColor rgb="FFF6F8F9"/>
        </x:patternFill>
      </x:fill>
    </x:dxf>
    <x:dxf>
      <x:fill>
        <x:patternFill>
          <x:bgColor rgb="FFFFFFFF"/>
        </x:patternFill>
      </x:fill>
    </x:dxf>
    <x:dxf>
      <x:fill>
        <x:patternFill>
          <x:bgColor rgb="FF356854"/>
        </x:patternFill>
      </x:fill>
    </x:dxf>
    <x:dxf>
      <x:border>
        <x:left style="thin">
          <x:color rgb="FF356854"/>
        </x:left>
        <x:right style="thin">
          <x:color rgb="FF356854"/>
        </x:right>
        <x:top style="thin">
          <x:color rgb="FF356854"/>
        </x:top>
        <x:bottom style="thin">
          <x:color rgb="FF356854"/>
        </x:bottom>
      </x:border>
    </x:dxf>
    <x:dxf>
      <x:fill>
        <x:patternFill>
          <x:bgColor rgb="FFF6F8F9"/>
        </x:patternFill>
      </x:fill>
    </x:dxf>
    <x:dxf>
      <x:fill>
        <x:patternFill>
          <x:bgColor rgb="FFFFFFFF"/>
        </x:patternFill>
      </x:fill>
    </x:dxf>
    <x:dxf>
      <x:fill>
        <x:patternFill>
          <x:bgColor rgb="FF356854"/>
        </x:patternFill>
      </x:fill>
    </x:dxf>
    <x:dxf>
      <x:border>
        <x:left style="thin">
          <x:color rgb="FF356854"/>
        </x:left>
        <x:right style="thin">
          <x:color rgb="FF356854"/>
        </x:right>
        <x:top style="thin">
          <x:color rgb="FF356854"/>
        </x:top>
        <x:bottom style="thin">
          <x:color rgb="FF356854"/>
        </x:bottom>
      </x:border>
    </x:dxf>
    <x:dxf>
      <x:fill>
        <x:patternFill>
          <x:bgColor rgb="FFF6F8F9"/>
        </x:patternFill>
      </x:fill>
    </x:dxf>
    <x:dxf>
      <x:fill>
        <x:patternFill>
          <x:bgColor rgb="FFFFFFFF"/>
        </x:patternFill>
      </x:fill>
    </x:dxf>
    <x:dxf>
      <x:fill>
        <x:patternFill>
          <x:bgColor rgb="FF356854"/>
        </x:patternFill>
      </x:fill>
    </x:dxf>
    <x:dxf>
      <x:border>
        <x:left style="thin">
          <x:color rgb="FF356854"/>
        </x:left>
        <x:right style="thin">
          <x:color rgb="FF356854"/>
        </x:right>
        <x:top style="thin">
          <x:color rgb="FF356854"/>
        </x:top>
        <x:bottom style="thin">
          <x:color rgb="FF356854"/>
        </x:bottom>
      </x:border>
    </x:dxf>
    <x:dxf>
      <x:fill>
        <x:patternFill>
          <x:bgColor rgb="FFF6F8F9"/>
        </x:patternFill>
      </x:fill>
    </x:dxf>
    <x:dxf>
      <x:fill>
        <x:patternFill>
          <x:bgColor rgb="FFFFFFFF"/>
        </x:patternFill>
      </x:fill>
    </x:dxf>
    <x:dxf>
      <x:fill>
        <x:patternFill>
          <x:bgColor rgb="FF356854"/>
        </x:patternFill>
      </x:fill>
    </x:dxf>
    <x:dxf>
      <x:border>
        <x:left style="thin">
          <x:color rgb="FF356854"/>
        </x:left>
        <x:right style="thin">
          <x:color rgb="FF356854"/>
        </x:right>
        <x:top style="thin">
          <x:color rgb="FF356854"/>
        </x:top>
        <x:bottom style="thin">
          <x:color rgb="FF356854"/>
        </x:bottom>
      </x:border>
    </x:dxf>
    <x:dxf>
      <x:fill>
        <x:patternFill>
          <x:bgColor rgb="FFF6F8F9"/>
        </x:patternFill>
      </x:fill>
    </x:dxf>
    <x:dxf>
      <x:fill>
        <x:patternFill>
          <x:bgColor rgb="FFFFFFFF"/>
        </x:patternFill>
      </x:fill>
    </x:dxf>
    <x:dxf>
      <x:fill>
        <x:patternFill>
          <x:bgColor rgb="FF356854"/>
        </x:patternFill>
      </x:fill>
    </x:dxf>
    <x:dxf>
      <x:border>
        <x:left style="thin">
          <x:color rgb="FF356854"/>
        </x:left>
        <x:right style="thin">
          <x:color rgb="FF356854"/>
        </x:right>
        <x:top style="thin">
          <x:color rgb="FF356854"/>
        </x:top>
        <x:bottom style="thin">
          <x:color rgb="FF356854"/>
        </x:bottom>
      </x:border>
    </x:dxf>
    <x:dxf>
      <x:fill>
        <x:patternFill>
          <x:bgColor rgb="FFF6F8F9"/>
        </x:patternFill>
      </x:fill>
    </x:dxf>
    <x:dxf>
      <x:fill>
        <x:patternFill>
          <x:bgColor rgb="FFFFFFFF"/>
        </x:patternFill>
      </x:fill>
    </x:dxf>
    <x:dxf>
      <x:fill>
        <x:patternFill>
          <x:bgColor rgb="FF356854"/>
        </x:patternFill>
      </x:fill>
    </x:dxf>
    <x:dxf>
      <x:border>
        <x:left style="thin">
          <x:color rgb="FF356854"/>
        </x:left>
        <x:right style="thin">
          <x:color rgb="FF356854"/>
        </x:right>
        <x:top style="thin">
          <x:color rgb="FF356854"/>
        </x:top>
        <x:bottom style="thin">
          <x:color rgb="FF356854"/>
        </x:bottom>
      </x:border>
    </x:dxf>
    <x:dxf>
      <x:fill>
        <x:patternFill>
          <x:bgColor rgb="FFF6F8F9"/>
        </x:patternFill>
      </x:fill>
    </x:dxf>
    <x:dxf>
      <x:fill>
        <x:patternFill>
          <x:bgColor rgb="FFFFFFFF"/>
        </x:patternFill>
      </x:fill>
    </x:dxf>
    <x:dxf>
      <x:fill>
        <x:patternFill>
          <x:bgColor rgb="FF356854"/>
        </x:patternFill>
      </x:fill>
    </x:dxf>
    <x:dxf>
      <x:border>
        <x:left style="thin">
          <x:color rgb="FF356854"/>
        </x:left>
        <x:right style="thin">
          <x:color rgb="FF356854"/>
        </x:right>
        <x:top style="thin">
          <x:color rgb="FF356854"/>
        </x:top>
        <x:bottom style="thin">
          <x:color rgb="FF356854"/>
        </x:bottom>
      </x:border>
    </x:dxf>
    <x:dxf>
      <x:fill>
        <x:patternFill>
          <x:bgColor rgb="FFF6F8F9"/>
        </x:patternFill>
      </x:fill>
    </x:dxf>
    <x:dxf>
      <x:fill>
        <x:patternFill>
          <x:bgColor rgb="FFFFFFFF"/>
        </x:patternFill>
      </x:fill>
    </x:dxf>
    <x:dxf>
      <x:fill>
        <x:patternFill>
          <x:bgColor rgb="FF356854"/>
        </x:patternFill>
      </x:fill>
    </x:dxf>
    <x:dxf>
      <x:border>
        <x:left style="thin">
          <x:color rgb="FF356854"/>
        </x:left>
        <x:right style="thin">
          <x:color rgb="FF356854"/>
        </x:right>
        <x:top style="thin">
          <x:color rgb="FF356854"/>
        </x:top>
        <x:bottom style="thin">
          <x:color rgb="FF356854"/>
        </x:bottom>
      </x:border>
    </x:dxf>
    <x:dxf>
      <x:fill>
        <x:patternFill>
          <x:bgColor rgb="FFF6F8F9"/>
        </x:patternFill>
      </x:fill>
    </x:dxf>
    <x:dxf>
      <x:fill>
        <x:patternFill>
          <x:bgColor rgb="FFFFFFFF"/>
        </x:patternFill>
      </x:fill>
    </x:dxf>
    <x:dxf>
      <x:fill>
        <x:patternFill>
          <x:bgColor rgb="FF356854"/>
        </x:patternFill>
      </x:fill>
    </x:dxf>
    <x:dxf>
      <x:border>
        <x:left style="thin">
          <x:color rgb="FF356854"/>
        </x:left>
        <x:right style="thin">
          <x:color rgb="FF356854"/>
        </x:right>
        <x:top style="thin">
          <x:color rgb="FF356854"/>
        </x:top>
        <x:bottom style="thin">
          <x:color rgb="FF356854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3f0de1571ad4c99" /><Relationship Type="http://schemas.openxmlformats.org/officeDocument/2006/relationships/theme" Target="/xl/theme/theme1.xml" Id="R7b29944b48cd413a" /><Relationship Type="http://schemas.openxmlformats.org/officeDocument/2006/relationships/sharedStrings" Target="/xl/sharedStrings.xml" Id="R125f6647f2164f2c" /><Relationship Type="http://schemas.openxmlformats.org/officeDocument/2006/relationships/worksheet" Target="/xl/worksheets/sheet1.xml" Id="R5849dc91c8984e21" /><Relationship Type="http://schemas.openxmlformats.org/officeDocument/2006/relationships/worksheet" Target="/xl/worksheets/sheet2.xml" Id="R19b69bacae9845a5" /></Relationships>
</file>

<file path=xl/tables/table1.xml><?xml version="1.0" encoding="utf-8"?>
<x:table xmlns:x="http://schemas.openxmlformats.org/spreadsheetml/2006/main" id="3" name="Tabell5" displayName="Tabell5" ref="A1:I2">
  <x:tableColumns count="9">
    <x:tableColumn id="1" name="site"/>
    <x:tableColumn id="2" name="intf_prefix"/>
    <x:tableColumn id="3" name="router-id"/>
    <x:tableColumn id="4" name="brukernavn"/>
    <x:tableColumn id="5" name="passord"/>
    <x:tableColumn id="6" name="vty_lines"/>
    <x:tableColumn id="7" name="secret" dataDxfId="49"/>
    <x:tableColumn id="8" name="tacacs_key" dataDxfId="48"/>
    <x:tableColumn id="9" name="DHCP" dataDxfId="47"/>
  </x:tableColumns>
  <x:tableStyleInfo name="Site 1 (HUB)-style" showFirstColumn="1" showLastColumn="1" showRowStripes="1" showColumnStripes="0"/>
</x:table>
</file>

<file path=xl/tables/table2.xml><?xml version="1.0" encoding="utf-8"?>
<x:table xmlns:x="http://schemas.openxmlformats.org/spreadsheetml/2006/main" id="5" name="Tabell6" displayName="Tabell6" ref="A4:K7">
  <x:tableColumns count="11">
    <x:tableColumn id="1" name="vrf"/>
    <x:tableColumn id="2" name="vlan"/>
    <x:tableColumn id="3" name="interface"/>
    <x:tableColumn id="4" name="nett id"/>
    <x:tableColumn id="5" name="gateway"/>
    <x:tableColumn id="6" name="mask"/>
    <x:tableColumn id="7" name="address min"/>
    <x:tableColumn id="8" name="address max"/>
    <x:tableColumn id="9" name="antall-res" dataDxfId="46"/>
    <x:tableColumn id="10" name="pri-afxx"/>
    <x:tableColumn id="11" name="pri-1-10"/>
  </x:tableColumns>
  <x:tableStyleInfo name="Site 1 (HUB)-style 2" showFirstColumn="1" showLastColumn="1" showRowStripes="1" showColumnStripes="0"/>
</x:table>
</file>

<file path=xl/tables/table3.xml><?xml version="1.0" encoding="utf-8"?>
<x:table xmlns:x="http://schemas.openxmlformats.org/spreadsheetml/2006/main" id="10" name="Tabell7" displayName="Tabell7" ref="A9:D12">
  <x:tableColumns count="4">
    <x:tableColumn id="1" name="vrf"/>
    <x:tableColumn id="2" name="rt"/>
    <x:tableColumn id="3" name="loopback"/>
    <x:tableColumn id="4" name="laddr"/>
  </x:tableColumns>
  <x:tableStyleInfo name="Site 1 (HUB)-style 3" showFirstColumn="1" showLastColumn="1" showRowStripes="1" showColumnStripes="0"/>
</x:table>
</file>

<file path=xl/tables/table4.xml><?xml version="1.0" encoding="utf-8"?>
<x:table xmlns:x="http://schemas.openxmlformats.org/spreadsheetml/2006/main" id="12" name="Tabell8" displayName="Tabell8" ref="A14:J16">
  <x:tableColumns count="10">
    <x:tableColumn id="1" name="tunnel id"/>
    <x:tableColumn id="2" name="vrf"/>
    <x:tableColumn id="3" name="ip address"/>
    <x:tableColumn id="4" name="mask"/>
    <x:tableColumn id="5" name="source" dataDxfId="1">
      <x:calculatedColumnFormula>$C$2</x:calculatedColumnFormula>
    </x:tableColumn>
    <x:tableColumn id="6" name="destination"/>
    <x:tableColumn id="7" name="gre mode"/>
    <x:tableColumn id="8" name="network-id"/>
    <x:tableColumn id="9" name="ipsec"/>
    <x:tableColumn id="10" name="ipsec key"/>
  </x:tableColumns>
  <x:tableStyleInfo name="Site 1 (HUB)-style 4" showFirstColumn="1" showLastColumn="1" showRowStripes="1" showColumnStripes="0"/>
</x:table>
</file>

<file path=xl/tables/table5.xml><?xml version="1.0" encoding="utf-8"?>
<x:table xmlns:x="http://schemas.openxmlformats.org/spreadsheetml/2006/main" id="20" name="Tabell131921" displayName="Tabell131921" ref="A18:F19" dataDxfId="44">
  <x:tableColumns count="6">
    <x:tableColumn id="1" name="site" dataDxfId="42">
      <x:calculatedColumnFormula>A2</x:calculatedColumnFormula>
    </x:tableColumn>
    <x:tableColumn id="2" name="brukernavn" dataDxfId="41"/>
    <x:tableColumn id="4" name="passord" dataDxfId="40"/>
    <x:tableColumn id="5" name="vty_lines" dataDxfId="39"/>
    <x:tableColumn id="3" name="secret" dataDxfId="38"/>
    <x:tableColumn id="6" name="ISP-VLAN" dataDxfId="36"/>
  </x:tableColumns>
  <x:tableStyleInfo name="Site 4-style" showFirstColumn="1" showLastColumn="1" showRowStripes="1" showColumnStripes="0"/>
</x:table>
</file>

<file path=xl/tables/table6.xml><?xml version="1.0" encoding="utf-8"?>
<x:table xmlns:x="http://schemas.openxmlformats.org/spreadsheetml/2006/main" id="6" name="Tabell1618242825" displayName="Tabell1618242825" ref="A21:J22" totalsRowShown="0">
  <x:tableColumns count="10">
    <x:tableColumn id="1" name="SW" dataDxfId="32">
      <x:calculatedColumnFormula>(ROW())-(ROW()-1)</x:calculatedColumnFormula>
    </x:tableColumn>
    <x:tableColumn id="2" name="MGMT Vlan" dataDxfId="30"/>
    <x:tableColumn id="3" name="MGMT ip" dataDxfId="28">
      <x:calculatedColumnFormula>LEFT($G$5,LEN($G$5)-1)&amp;(RIGHT($G$5,1)+A22)</x:calculatedColumnFormula>
    </x:tableColumn>
    <x:tableColumn id="4" name="gateway" dataDxfId="26">
      <x:calculatedColumnFormula>$E$5</x:calculatedColumnFormula>
    </x:tableColumn>
    <x:tableColumn id="5" name="mask" dataDxfId="24">
      <x:calculatedColumnFormula>$F$5</x:calculatedColumnFormula>
    </x:tableColumn>
    <x:tableColumn id="10" name="num_ports" dataDxfId="22"/>
    <x:tableColumn id="6" name="num_downlink" dataDxfId="20"/>
    <x:tableColumn id="7" name="vlan-antall" dataDxfId="19"/>
    <x:tableColumn id="8" name="intf_prefix" dataDxfId="17"/>
    <x:tableColumn id="9" name="num_port_ledig" dataDxfId="15">
      <x:calculatedColumnFormula>$F22-$G22-2</x:calculatedColumnFormula>
    </x:tableColumn>
  </x:tableColumns>
  <x:tableStyleInfo name="Site 4-style 4" showFirstColumn="1" showLastColumn="1" showRowStripes="1" showColumnStripes="0"/>
</x:table>
</file>

<file path=xl/tables/table7.xml><?xml version="1.0" encoding="utf-8"?>
<x:table xmlns:x="http://schemas.openxmlformats.org/spreadsheetml/2006/main" id="2" name="Tabell1" displayName="Tabell1" ref="A1:H2">
  <x:tableColumns count="8">
    <x:tableColumn id="1" name="site"/>
    <x:tableColumn id="2" name="intf_prefix"/>
    <x:tableColumn id="3" name="router-id"/>
    <x:tableColumn id="4" name="brukernavn"/>
    <x:tableColumn id="5" name="passord"/>
    <x:tableColumn id="6" name="vty_lines"/>
    <x:tableColumn id="7" name="secret" dataDxfId="13"/>
    <x:tableColumn id="8" name="tacacs_key" dataDxfId="12">
      <x:calculatedColumnFormula>'[1]Site 1 (HUB)'!H2</x:calculatedColumnFormula>
    </x:tableColumn>
  </x:tableColumns>
  <x:tableStyleInfo name="Site 2-style" showFirstColumn="1" showLastColumn="1" showRowStripes="1" showColumnStripes="0"/>
</x:table>
</file>

<file path=xl/tables/table8.xml><?xml version="1.0" encoding="utf-8"?>
<x:table xmlns:x="http://schemas.openxmlformats.org/spreadsheetml/2006/main" id="7" name="Tabell2" displayName="Tabell2" ref="A4:K7">
  <x:tableColumns count="11">
    <x:tableColumn id="1" name="vrf"/>
    <x:tableColumn id="2" name="vlan"/>
    <x:tableColumn id="3" name="interface"/>
    <x:tableColumn id="4" name="nett id"/>
    <x:tableColumn id="5" name="gateway"/>
    <x:tableColumn id="6" name="mask"/>
    <x:tableColumn id="7" name="address min"/>
    <x:tableColumn id="8" name="address max"/>
    <x:tableColumn id="9" name="antall-res" dataDxfId="71"/>
    <x:tableColumn id="10" name="pri-afxx"/>
    <x:tableColumn id="11" name="pri-1-10"/>
  </x:tableColumns>
  <x:tableStyleInfo name="Site 2-style 2" showFirstColumn="1" showLastColumn="1" showRowStripes="1" showColumnStripes="0"/>
</x:table>
</file>

<file path=xl/tables/table9.xml><?xml version="1.0" encoding="utf-8"?>
<x:table xmlns:x="http://schemas.openxmlformats.org/spreadsheetml/2006/main" id="13" name="Tabell3" displayName="Tabell3" ref="A9:D12">
  <x:tableColumns count="4">
    <x:tableColumn id="1" name="vrf"/>
    <x:tableColumn id="2" name="rt"/>
    <x:tableColumn id="3" name="loopback"/>
    <x:tableColumn id="4" name="laddr"/>
  </x:tableColumns>
  <x:tableStyleInfo name="Site 2-style 3" showFirstColumn="1" showLastColumn="1" showRowStripes="1" showColumnStripes="0"/>
</x:table>
</file>

<file path=xl/tables/table10.xml><?xml version="1.0" encoding="utf-8"?>
<x:table xmlns:x="http://schemas.openxmlformats.org/spreadsheetml/2006/main" id="15" name="Tabell4" displayName="Tabell4" ref="A14:J16">
  <x:tableColumns count="10">
    <x:tableColumn id="1" name="tunnel id"/>
    <x:tableColumn id="2" name="vrf"/>
    <x:tableColumn id="3" name="ip address"/>
    <x:tableColumn id="4" name="mask"/>
    <x:tableColumn id="5" name="source" dataDxfId="0">
      <x:calculatedColumnFormula>$C$2</x:calculatedColumnFormula>
    </x:tableColumn>
    <x:tableColumn id="6" name="destination"/>
    <x:tableColumn id="7" name="gre mode"/>
    <x:tableColumn id="8" name="network-id"/>
    <x:tableColumn id="9" name="ipsec"/>
    <x:tableColumn id="10" name="ipsec key"/>
  </x:tableColumns>
  <x:tableStyleInfo name="Site 2-style 4" showFirstColumn="1" showLastColumn="1" showRowStripes="1" showColumnStripes="0"/>
</x:table>
</file>

<file path=xl/tables/table11.xml><?xml version="1.0" encoding="utf-8"?>
<x:table xmlns:x="http://schemas.openxmlformats.org/spreadsheetml/2006/main" id="29" name="Tabell13192530" displayName="Tabell13192530" ref="A18:E19" dataDxfId="10">
  <x:tableColumns count="5">
    <x:tableColumn id="1" name="site" dataDxfId="8">
      <x:calculatedColumnFormula>A2</x:calculatedColumnFormula>
    </x:tableColumn>
    <x:tableColumn id="4" name="brukernavn" dataDxfId="7"/>
    <x:tableColumn id="5" name="passord" dataDxfId="6"/>
    <x:tableColumn id="3" name="vty_lines" dataDxfId="4"/>
    <x:tableColumn id="2" name="secret" dataDxfId="2"/>
  </x:tableColumns>
  <x:tableStyleInfo name="Site 4-style" showFirstColumn="1" showLastColumn="1" showRowStripes="1" showColumnStripes="0"/>
</x:table>
</file>

<file path=xl/tables/table12.xml><?xml version="1.0" encoding="utf-8"?>
<x:table xmlns:x="http://schemas.openxmlformats.org/spreadsheetml/2006/main" id="9" name="Tabell16182428210" displayName="Tabell16182428210" ref="A21:J23" totalsRowShown="0">
  <x:tableColumns count="10">
    <x:tableColumn id="1" name="SW" dataDxfId="68">
      <x:calculatedColumnFormula>(ROW())-(ROW()-1)</x:calculatedColumnFormula>
    </x:tableColumn>
    <x:tableColumn id="2" name="MGMT Vlan" dataDxfId="66"/>
    <x:tableColumn id="3" name="MGMT ip" dataDxfId="64">
      <x:calculatedColumnFormula>LEFT($G$5,LEN($G$5)-1)&amp;(RIGHT($G$5,1)+A22)</x:calculatedColumnFormula>
    </x:tableColumn>
    <x:tableColumn id="4" name="gateway" dataDxfId="62">
      <x:calculatedColumnFormula>$E$5</x:calculatedColumnFormula>
    </x:tableColumn>
    <x:tableColumn id="5" name="mask" dataDxfId="60">
      <x:calculatedColumnFormula>$F$5</x:calculatedColumnFormula>
    </x:tableColumn>
    <x:tableColumn id="10" name="num_ports" dataDxfId="58"/>
    <x:tableColumn id="6" name="num_downlink" dataDxfId="56"/>
    <x:tableColumn id="7" name="vlan-antall" dataDxfId="55"/>
    <x:tableColumn id="8" name="intf_prefix" dataDxfId="53"/>
    <x:tableColumn id="9" name="num_port_ledig" dataDxfId="51">
      <x:calculatedColumnFormula>$F22-$G22-2</x:calculatedColumnFormula>
    </x:tableColumn>
  </x:tableColumns>
  <x:tableStyleInfo name="Site 4-style 4" showFirstColumn="1" showLastColumn="1" showRowStripes="1" showColumnStripes="0"/>
</x: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ac71278f78a40cc" /><Relationship Type="http://schemas.openxmlformats.org/officeDocument/2006/relationships/table" Target="/xl/tables/table2.xml" Id="R6573babc50b44268" /><Relationship Type="http://schemas.openxmlformats.org/officeDocument/2006/relationships/table" Target="/xl/tables/table3.xml" Id="Rb5ad85777f364004" /><Relationship Type="http://schemas.openxmlformats.org/officeDocument/2006/relationships/table" Target="/xl/tables/table4.xml" Id="Rd60e9e1546024097" /><Relationship Type="http://schemas.openxmlformats.org/officeDocument/2006/relationships/table" Target="/xl/tables/table5.xml" Id="Rf0c90e01bb3d4345" /><Relationship Type="http://schemas.openxmlformats.org/officeDocument/2006/relationships/table" Target="/xl/tables/table6.xml" Id="R649ad7556e2b43e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7.xml" Id="R3aacb2c871d349cc" /><Relationship Type="http://schemas.openxmlformats.org/officeDocument/2006/relationships/table" Target="/xl/tables/table8.xml" Id="R194a7e60635f4f03" /><Relationship Type="http://schemas.openxmlformats.org/officeDocument/2006/relationships/table" Target="/xl/tables/table9.xml" Id="Rbe99e6f5dfa3473b" /><Relationship Type="http://schemas.openxmlformats.org/officeDocument/2006/relationships/table" Target="/xl/tables/table10.xml" Id="R4e88a2d2cf264516" /><Relationship Type="http://schemas.openxmlformats.org/officeDocument/2006/relationships/table" Target="/xl/tables/table11.xml" Id="R2b18250b416a42ce" /><Relationship Type="http://schemas.openxmlformats.org/officeDocument/2006/relationships/table" Target="/xl/tables/table12.xml" Id="R51630b3790374145" /></Relationships>
</file>

<file path=xl/worksheets/sheet1.xml><?xml version="1.0" encoding="utf-8"?>
<x:worksheet xmlns:x="http://schemas.openxmlformats.org/spreadsheetml/2006/main">
  <x:sheetFormatPr defaultColWidth="12.5546875" defaultRowHeight="15"/>
  <x:cols>
    <x:col min="1" max="1" width="10.75" hidden="0" customWidth="1"/>
    <x:col min="2" max="2" width="13" hidden="0" customWidth="1"/>
    <x:col min="3" max="3" width="58.75" hidden="0" customWidth="1"/>
    <x:col min="5" max="5" width="58.75" hidden="0" customWidth="1"/>
    <x:col min="7" max="7" width="58.75" hidden="0" customWidth="1"/>
    <x:col min="9" max="9" width="11.25" hidden="0" customWidth="1"/>
    <x:col min="4" max="4" width="12.25" hidden="0" customWidth="1"/>
    <x:col min="6" max="6" width="15.880000114440918" hidden="0" customWidth="1"/>
    <x:col min="8" max="8" width="15.880000114440918" hidden="0" customWidth="1"/>
    <x:col min="10" max="10" width="11.25" hidden="0" customWidth="1"/>
    <x:col min="11" max="11" width="12" hidden="0" customWidth="1"/>
  </x:cols>
  <x:sheetData>
    <x:row r="1" ht="15.75" customHeight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37" t="str">
        <x:v>dns_servers</x:v>
      </x:c>
    </x:row>
    <x:row r="2" ht="15.75" customHeight="1">
      <x:c r="A2" s="2">
        <x:v>1</x:v>
      </x:c>
      <x:c r="B2" s="2" t="s">
        <x:v>9</x:v>
      </x:c>
      <x:c r="C2" s="2" t="str">
        <x:f>A2&amp;"."&amp;A2&amp;"."&amp;A2&amp;".0"</x:f>
        <x:v>1.1.1.0</x:v>
      </x:c>
      <x:c r="D2" s="2" t="s">
        <x:v>10</x:v>
      </x:c>
      <x:c r="E2" s="2" t="s">
        <x:v>11</x:v>
      </x:c>
      <x:c r="F2" s="2" t="s">
        <x:v>12</x:v>
      </x:c>
      <x:c r="G2" s="2" t="s">
        <x:v>11</x:v>
      </x:c>
      <x:c r="H2" s="2" t="s">
        <x:v>13</x:v>
      </x:c>
      <x:c r="I2" s="2" t="b">
        <x:v>1</x:v>
      </x:c>
      <x:c r="J2" s="43" t="str">
        <x:v>192.168.255.1</x:v>
      </x:c>
    </x:row>
    <x:row r="3" ht="15.75" customHeight="1">
      <x:c r="A3" s="3"/>
      <x:c r="B3" s="4"/>
      <x:c r="C3" s="3"/>
      <x:c r="D3" s="3"/>
      <x:c r="E3" s="3"/>
      <x:c r="F3" s="3"/>
      <x:c r="G3" s="3"/>
      <x:c r="H3" s="3"/>
    </x:row>
    <x:row r="4" ht="15.75" customHeight="1">
      <x:c r="A4" s="5" t="s">
        <x:v>14</x:v>
      </x:c>
      <x:c r="B4" s="5" t="s">
        <x:v>15</x:v>
      </x:c>
      <x:c r="C4" s="5" t="s">
        <x:v>16</x:v>
      </x:c>
      <x:c r="D4" s="5" t="s">
        <x:v>17</x:v>
      </x:c>
      <x:c r="E4" s="5" t="s">
        <x:v>18</x:v>
      </x:c>
      <x:c r="F4" s="5" t="s">
        <x:v>19</x:v>
      </x:c>
      <x:c r="G4" s="5" t="s">
        <x:v>20</x:v>
      </x:c>
      <x:c r="H4" s="5" t="s">
        <x:v>21</x:v>
      </x:c>
      <x:c r="I4" s="5" t="s">
        <x:v>22</x:v>
      </x:c>
      <x:c r="J4" s="14" t="s">
        <x:v>23</x:v>
      </x:c>
      <x:c r="K4" s="14" t="s">
        <x:v>24</x:v>
      </x:c>
    </x:row>
    <x:row r="5" ht="15.75" customHeight="1">
      <x:c r="A5" s="6" t="s">
        <x:v>25</x:v>
      </x:c>
      <x:c r="B5" s="7">
        <x:v>10</x:v>
      </x:c>
      <x:c r="C5" s="6">
        <x:v>0</x:v>
      </x:c>
      <x:c r="D5" s="6" t="str">
        <x:f>10&amp;"."&amp;(B5+A2)&amp;"."&amp;0&amp;"."&amp;0</x:f>
        <x:v>10.11.0.0</x:v>
      </x:c>
      <x:c r="E5" s="6" t="str">
        <x:f t="shared" ref="E5:E7" si="0">LEFT(D5,LEN(D5)-1)&amp;"1"</x:f>
        <x:v>10.11.0.1</x:v>
      </x:c>
      <x:c r="F5" s="6" t="s">
        <x:v>26</x:v>
      </x:c>
      <x:c r="G5" s="6" t="str">
        <x:f t="shared" ref="G5:G7" si="1">LEFT(D5,LEN(D5)-1)&amp;"1"</x:f>
        <x:v>10.11.0.1</x:v>
      </x:c>
      <x:c r="H5" s="6" t="str">
        <x:f ca="1">LEFT(D5,FIND(".",D5,FIND(".",D5)+1)-1)&amp;".255.254"</x:f>
        <x:v>10.11.255.254</x:v>
      </x:c>
      <x:c r="I5" s="6">
        <x:v>10</x:v>
      </x:c>
      <x:c r="J5" s="15">
        <x:v>21</x:v>
      </x:c>
      <x:c r="K5" s="15">
        <x:v>5</x:v>
      </x:c>
    </x:row>
    <x:row r="6" ht="15.75" customHeight="1">
      <x:c r="A6" s="6" t="s">
        <x:v>27</x:v>
      </x:c>
      <x:c r="B6" s="7">
        <x:v>20</x:v>
      </x:c>
      <x:c r="C6" s="6">
        <x:v>0</x:v>
      </x:c>
      <x:c r="D6" s="6" t="str">
        <x:f>10&amp;"."&amp;(B6+A2)&amp;"."&amp;0&amp;"."&amp;0</x:f>
        <x:v>10.21.0.0</x:v>
      </x:c>
      <x:c r="E6" s="6" t="str">
        <x:f t="shared" si="0"/>
        <x:v>10.21.0.1</x:v>
      </x:c>
      <x:c r="F6" s="6" t="s">
        <x:v>26</x:v>
      </x:c>
      <x:c r="G6" s="6" t="str">
        <x:f t="shared" si="1"/>
        <x:v>10.21.0.1</x:v>
      </x:c>
      <x:c r="H6" s="6" t="str">
        <x:f ca="1">LEFT(D6,FIND(".",D6,FIND(".",D6)+1)-1)&amp;".255.254"</x:f>
        <x:v>10.21.255.254</x:v>
      </x:c>
      <x:c r="I6" s="6">
        <x:v>10</x:v>
      </x:c>
      <x:c r="J6" s="15">
        <x:v>11</x:v>
      </x:c>
      <x:c r="K6" s="15">
        <x:v>2</x:v>
      </x:c>
    </x:row>
    <x:row r="7" ht="15.75" customHeight="1">
      <x:c r="A7" s="6" t="s">
        <x:v>28</x:v>
      </x:c>
      <x:c r="B7" s="7">
        <x:v>30</x:v>
      </x:c>
      <x:c r="C7" s="6">
        <x:v>0</x:v>
      </x:c>
      <x:c r="D7" s="6" t="str">
        <x:f>10&amp;"."&amp;(B7+A2)&amp;"."&amp;0&amp;"."&amp;0</x:f>
        <x:v>10.31.0.0</x:v>
      </x:c>
      <x:c r="E7" s="6" t="str">
        <x:f t="shared" si="0"/>
        <x:v>10.31.0.1</x:v>
      </x:c>
      <x:c r="F7" s="6" t="s">
        <x:v>26</x:v>
      </x:c>
      <x:c r="G7" s="6" t="str">
        <x:f t="shared" si="1"/>
        <x:v>10.31.0.1</x:v>
      </x:c>
      <x:c r="H7" s="6" t="str">
        <x:f ca="1">LEFT(D7,FIND(".",D7,FIND(".",D7)+1)-1)&amp;".255.254"</x:f>
        <x:v>10.31.255.254</x:v>
      </x:c>
      <x:c r="I7" s="6">
        <x:v>10</x:v>
      </x:c>
      <x:c r="J7">
        <x:v>41</x:v>
      </x:c>
      <x:c r="K7">
        <x:v>10</x:v>
      </x:c>
    </x:row>
    <x:row r="8" ht="15.75" customHeight="1">
      <x:c r="A8" s="8"/>
      <x:c r="B8" s="8"/>
    </x:row>
    <x:row r="9" ht="15.75" customHeight="1">
      <x:c r="A9" s="5" t="s">
        <x:v>14</x:v>
      </x:c>
      <x:c r="B9" s="5" t="s">
        <x:v>29</x:v>
      </x:c>
      <x:c r="C9" s="5" t="s">
        <x:v>30</x:v>
      </x:c>
      <x:c r="D9" s="5" t="s">
        <x:v>31</x:v>
      </x:c>
    </x:row>
    <x:row r="10" ht="15.75" customHeight="1">
      <x:c r="A10" s="6" t="s">
        <x:v>25</x:v>
      </x:c>
      <x:c r="B10" s="7" t="s">
        <x:v>32</x:v>
      </x:c>
      <x:c r="C10" s="6">
        <x:v>10</x:v>
      </x:c>
      <x:c r="D10" s="6" t="str">
        <x:f>A2&amp;"."&amp;A2&amp;"."&amp;A2&amp;"."&amp;(C10)</x:f>
        <x:v>1.1.1.10</x:v>
      </x:c>
    </x:row>
    <x:row r="11" ht="15.75" customHeight="1">
      <x:c r="A11" s="6" t="s">
        <x:v>27</x:v>
      </x:c>
      <x:c r="B11" s="7" t="s">
        <x:v>33</x:v>
      </x:c>
      <x:c r="C11" s="6">
        <x:v>20</x:v>
      </x:c>
      <x:c r="D11" s="6" t="str">
        <x:f>A2&amp;"."&amp;A2&amp;"."&amp;A2&amp;"."&amp;(C11)</x:f>
        <x:v>1.1.1.20</x:v>
      </x:c>
    </x:row>
    <x:row r="12" ht="15.75" customHeight="1">
      <x:c r="A12" s="6" t="s">
        <x:v>28</x:v>
      </x:c>
      <x:c r="B12" s="7" t="s">
        <x:v>34</x:v>
      </x:c>
      <x:c r="C12" s="6">
        <x:v>30</x:v>
      </x:c>
      <x:c r="D12" s="6" t="str">
        <x:f>A2&amp;"."&amp;A2&amp;"."&amp;A2&amp;"."&amp;(C12)</x:f>
        <x:v>1.1.1.30</x:v>
      </x:c>
    </x:row>
    <x:row r="13" ht="15.75" customHeight="1"/>
    <x:row r="14" ht="15.75" customHeight="1">
      <x:c r="A14" s="5" t="s">
        <x:v>35</x:v>
      </x:c>
      <x:c r="B14" s="5" t="s">
        <x:v>14</x:v>
      </x:c>
      <x:c r="C14" s="5" t="s">
        <x:v>36</x:v>
      </x:c>
      <x:c r="D14" s="5" t="s">
        <x:v>19</x:v>
      </x:c>
      <x:c r="E14" s="5" t="s">
        <x:v>37</x:v>
      </x:c>
      <x:c r="F14" s="5" t="s">
        <x:v>38</x:v>
      </x:c>
      <x:c r="G14" s="5" t="s">
        <x:v>39</x:v>
      </x:c>
      <x:c r="H14" s="1" t="s">
        <x:v>40</x:v>
      </x:c>
      <x:c r="I14" s="1" t="s">
        <x:v>41</x:v>
      </x:c>
      <x:c r="J14" s="1" t="s">
        <x:v>42</x:v>
      </x:c>
    </x:row>
    <x:row r="15" ht="15.75" customHeight="1">
      <x:c r="A15" s="6" t="s">
        <x:v>43</x:v>
      </x:c>
      <x:c r="B15" s="6" t="s">
        <x:v>25</x:v>
      </x:c>
      <x:c r="C15" s="6" t="str">
        <x:f>172&amp;"."&amp;16&amp;"."&amp;0&amp;"."&amp;(H15+A2)</x:f>
        <x:v>172.16.0.11</x:v>
      </x:c>
      <x:c r="D15" s="6" t="s">
        <x:v>44</x:v>
      </x:c>
      <x:c r="E15" s="6" t="str">
        <x:f t="shared" ref="E15:E16" si="2">$C$2</x:f>
        <x:v>1.1.1.0</x:v>
      </x:c>
      <x:c r="F15" s="6"/>
      <x:c r="G15" s="6" t="s">
        <x:v>45</x:v>
      </x:c>
      <x:c r="H15" s="2">
        <x:v>10</x:v>
      </x:c>
      <x:c r="I15" s="2"/>
      <x:c r="J15" s="2"/>
    </x:row>
    <x:row r="16" ht="15.75" customHeight="1">
      <x:c r="A16" s="6" t="s">
        <x:v>46</x:v>
      </x:c>
      <x:c r="B16" s="6" t="s">
        <x:v>28</x:v>
      </x:c>
      <x:c r="C16" s="6" t="str">
        <x:f>172&amp;"."&amp;16&amp;"."&amp;0&amp;"."&amp;(H16+A2)</x:f>
        <x:v>172.16.0.31</x:v>
      </x:c>
      <x:c r="D16" s="6" t="s">
        <x:v>44</x:v>
      </x:c>
      <x:c r="E16" s="6" t="str">
        <x:f t="shared" si="2"/>
        <x:v>1.1.1.0</x:v>
      </x:c>
      <x:c r="F16" s="6"/>
      <x:c r="G16" s="6" t="s">
        <x:v>45</x:v>
      </x:c>
      <x:c r="H16" s="2">
        <x:v>30</x:v>
      </x:c>
      <x:c r="I16" s="2" t="b">
        <x:v>1</x:v>
      </x:c>
      <x:c r="J16" s="2"/>
    </x:row>
    <x:row r="17" ht="15.75" customHeight="1">
      <x:c r="A17" s="9"/>
      <x:c r="B17" s="9"/>
      <x:c r="C17" s="9"/>
      <x:c r="D17" s="9"/>
      <x:c r="E17" s="9"/>
      <x:c r="F17" s="9"/>
      <x:c r="G17" s="9"/>
    </x:row>
    <x:row r="18" ht="15.75" customHeight="1">
      <x:c r="A18" s="10" t="s">
        <x:v>0</x:v>
      </x:c>
      <x:c r="B18" s="10" t="s">
        <x:v>3</x:v>
      </x:c>
      <x:c r="C18" s="10" t="s">
        <x:v>4</x:v>
      </x:c>
      <x:c r="D18" s="10" t="s">
        <x:v>5</x:v>
      </x:c>
      <x:c r="E18" s="10" t="s">
        <x:v>6</x:v>
      </x:c>
      <x:c r="F18" s="47" t="s">
        <x:v>47</x:v>
      </x:c>
      <x:c r="G18" s="37" t="str">
        <x:v>etherchan_num</x:v>
      </x:c>
    </x:row>
    <x:row r="19" ht="15.75" customHeight="1">
      <x:c r="A19" s="11" t="n">
        <x:f>A2</x:f>
        <x:v>1</x:v>
      </x:c>
      <x:c r="B19" s="11" t="s">
        <x:v>10</x:v>
      </x:c>
      <x:c r="C19" s="11" t="s">
        <x:v>11</x:v>
      </x:c>
      <x:c r="D19" s="11" t="s">
        <x:v>12</x:v>
      </x:c>
      <x:c r="E19" s="11" t="s">
        <x:v>11</x:v>
      </x:c>
      <x:c r="F19" s="51">
        <x:v>200</x:v>
      </x:c>
      <x:c r="G19" s="43" t="n">
        <x:v>1</x:v>
      </x:c>
    </x:row>
    <x:row r="20" ht="15.75" customHeight="1"/>
    <x:row r="21" ht="15.75" customHeight="1">
      <x:c r="A21" s="5" t="s">
        <x:v>48</x:v>
      </x:c>
      <x:c r="B21" s="5" t="s">
        <x:v>49</x:v>
      </x:c>
      <x:c r="C21" s="5" t="s">
        <x:v>50</x:v>
      </x:c>
      <x:c r="D21" s="5" t="s">
        <x:v>18</x:v>
      </x:c>
      <x:c r="E21" s="5" t="s">
        <x:v>19</x:v>
      </x:c>
      <x:c r="F21" s="47" t="str">
        <x:v>num_ports_tot</x:v>
      </x:c>
      <x:c r="G21" s="47" t="str">
        <x:v>skiped_ports</x:v>
      </x:c>
      <x:c r="H21" s="47" t="str">
        <x:v>num_downlink</x:v>
      </x:c>
      <x:c r="I21" s="47" t="str">
        <x:v>vlan-antall</x:v>
      </x:c>
      <x:c r="J21" s="47" t="str">
        <x:v>intf_prefix</x:v>
      </x:c>
      <x:c r="K21" s="37" t="str">
        <x:v>num_port_ledig</x:v>
      </x:c>
    </x:row>
    <x:row r="22" ht="15.75" customHeight="1">
      <x:c r="A22" s="6" t="n">
        <x:f>(ROW())-(ROW()-1)</x:f>
        <x:v>1</x:v>
      </x:c>
      <x:c r="B22" s="6">
        <x:v>10</x:v>
      </x:c>
      <x:c r="C22" s="6" t="str">
        <x:f>LEFT($G$5,LEN($G$5)-1)&amp;(RIGHT($G$5,1)+A22)</x:f>
        <x:v>10.11.0.2</x:v>
      </x:c>
      <x:c r="D22" s="6" t="str">
        <x:f>$E$5</x:f>
        <x:v>10.11.0.1</x:v>
      </x:c>
      <x:c r="E22" s="6" t="str">
        <x:f>$F$5</x:f>
        <x:v>255.255.0.0</x:v>
      </x:c>
      <x:c r="F22" s="63" t="n">
        <x:v>4</x:v>
      </x:c>
      <x:c r="G22" s="63" t="n">
        <x:v>0</x:v>
      </x:c>
      <x:c r="H22" s="63" t="n">
        <x:v>0</x:v>
      </x:c>
      <x:c r="I22" s="51" t="str">
        <x:v>20.1-200.1</x:v>
      </x:c>
      <x:c r="J22" s="51" t="str">
        <x:v>g0/</x:v>
      </x:c>
      <x:c r="K22" s="43" t="n">
        <x:f>F22-G22-2-H22*$G$19</x:f>
        <x:v>2</x:v>
      </x:c>
    </x:row>
    <x:row r="23" ht="15.75" customHeight="1">
      <x:c r="K23"/>
    </x:row>
    <x:row r="24" ht="15.75" customHeight="1"/>
    <x:row r="25" ht="15.75" customHeight="1"/>
    <x:row r="26" ht="15.75" customHeight="1"/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dataValidations count="1">
    <x:dataValidation type="custom" allowBlank="1" showInputMessage="1" showErrorMessage="1" sqref="H22">
      <x:formula1>IF(H22="",TRUE,SUM(--_xlfn.TEXTAFTER(_xlfn.TEXTSPLIT(H22,"-"),"."))&lt;=J22)</x:formula1>
    </x:dataValidation>
  </x:dataValidations>
  <x:pageMargins left="0.7" right="0.7" top="0.75" bottom="0.75" header="0.3" footer="0.3"/>
  <x:tableParts count="6">
    <x:tablePart xmlns:r="http://schemas.openxmlformats.org/officeDocument/2006/relationships" r:id="Rdac71278f78a40cc"/>
    <x:tablePart xmlns:r="http://schemas.openxmlformats.org/officeDocument/2006/relationships" r:id="R6573babc50b44268"/>
    <x:tablePart xmlns:r="http://schemas.openxmlformats.org/officeDocument/2006/relationships" r:id="Rb5ad85777f364004"/>
    <x:tablePart xmlns:r="http://schemas.openxmlformats.org/officeDocument/2006/relationships" r:id="Rd60e9e1546024097"/>
    <x:tablePart xmlns:r="http://schemas.openxmlformats.org/officeDocument/2006/relationships" r:id="Rf0c90e01bb3d4345"/>
    <x:tablePart xmlns:r="http://schemas.openxmlformats.org/officeDocument/2006/relationships" r:id="R649ad7556e2b43e6"/>
  </x:tableParts>
</x:worksheet>
</file>

<file path=xl/worksheets/sheet2.xml><?xml version="1.0" encoding="utf-8"?>
<x:worksheet xmlns:x="http://schemas.openxmlformats.org/spreadsheetml/2006/main">
  <x:sheetFormatPr defaultColWidth="12.5546875" defaultRowHeight="15"/>
  <x:cols>
    <x:col min="1" max="1" width="10.75" hidden="0" customWidth="1"/>
    <x:col min="2" max="2" width="13" hidden="0" customWidth="1"/>
    <x:col min="3" max="3" width="58.75" hidden="0" customWidth="1"/>
    <x:col min="4" max="4" width="12.25" hidden="0" customWidth="1"/>
    <x:col min="5" max="5" width="60.75" hidden="0" customWidth="1"/>
    <x:col min="8" max="8" width="15.880000114440918" hidden="0" customWidth="1"/>
    <x:col min="9" max="9" width="11.25" hidden="0" customWidth="1"/>
    <x:col min="6" max="6" width="15.880000114440918" hidden="0" customWidth="1"/>
    <x:col min="7" max="7" width="58.75" hidden="0" customWidth="1"/>
    <x:col min="10" max="10" width="11.25" hidden="0" customWidth="1"/>
    <x:col min="11" max="11" width="12" hidden="0" customWidth="1"/>
  </x:cols>
  <x:sheetData>
    <x:row r="1" ht="15.75" customHeight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J1" s="37" t="str">
        <x:v>dns_servers</x:v>
      </x:c>
    </x:row>
    <x:row r="2" ht="15.75" customHeight="1">
      <x:c r="A2" s="2">
        <x:v>2</x:v>
      </x:c>
      <x:c r="B2" s="2" t="s">
        <x:v>9</x:v>
      </x:c>
      <x:c r="C2" s="2" t="str">
        <x:f>A2&amp;"."&amp;A2&amp;"."&amp;A2&amp;".0"</x:f>
        <x:v>2.2.2.0</x:v>
      </x:c>
      <x:c r="D2" s="2" t="s">
        <x:v>10</x:v>
      </x:c>
      <x:c r="E2" s="2" t="s">
        <x:v>11</x:v>
      </x:c>
      <x:c r="F2" s="2" t="s">
        <x:v>12</x:v>
      </x:c>
      <x:c r="G2" s="2" t="s">
        <x:v>11</x:v>
      </x:c>
      <x:c r="H2" s="2" t="str">
        <x:f>'Site 1 (HUB)'!H2</x:f>
        <x:v>TACACS-KEY</x:v>
      </x:c>
      <x:c r="J2" s="43" t="str">
        <x:v>192.168.255.1</x:v>
      </x:c>
    </x:row>
    <x:row r="3" ht="15.75" customHeight="1">
      <x:c r="A3" s="3"/>
      <x:c r="B3" s="4"/>
      <x:c r="C3" s="3"/>
      <x:c r="D3" s="3"/>
      <x:c r="E3" s="3"/>
      <x:c r="F3" s="3"/>
      <x:c r="G3" s="3"/>
      <x:c r="H3" s="3"/>
    </x:row>
    <x:row r="4" ht="31.5" customHeight="1">
      <x:c r="A4" s="5" t="s">
        <x:v>14</x:v>
      </x:c>
      <x:c r="B4" s="5" t="s">
        <x:v>15</x:v>
      </x:c>
      <x:c r="C4" s="5" t="s">
        <x:v>16</x:v>
      </x:c>
      <x:c r="D4" s="5" t="s">
        <x:v>17</x:v>
      </x:c>
      <x:c r="E4" s="5" t="s">
        <x:v>18</x:v>
      </x:c>
      <x:c r="F4" s="5" t="s">
        <x:v>19</x:v>
      </x:c>
      <x:c r="G4" s="12" t="s">
        <x:v>20</x:v>
      </x:c>
      <x:c r="H4" s="12" t="s">
        <x:v>21</x:v>
      </x:c>
      <x:c r="I4" s="12" t="s">
        <x:v>22</x:v>
      </x:c>
      <x:c r="J4" s="14" t="s">
        <x:v>23</x:v>
      </x:c>
      <x:c r="K4" s="14" t="s">
        <x:v>24</x:v>
      </x:c>
    </x:row>
    <x:row r="5" ht="15.75" customHeight="1">
      <x:c r="A5" s="6" t="s">
        <x:v>25</x:v>
      </x:c>
      <x:c r="B5" s="7">
        <x:v>10</x:v>
      </x:c>
      <x:c r="C5" s="6">
        <x:v>0</x:v>
      </x:c>
      <x:c r="D5" s="6" t="str">
        <x:f>10&amp;"."&amp;(B5+A2)&amp;"."&amp;0&amp;"."&amp;0</x:f>
        <x:v>10.12.0.0</x:v>
      </x:c>
      <x:c r="E5" s="6" t="str">
        <x:f t="shared" ref="E5:E7" si="0">LEFT(D5,LEN(D5)-1)&amp;"1"</x:f>
        <x:v>10.12.0.1</x:v>
      </x:c>
      <x:c r="F5" s="6" t="s">
        <x:v>26</x:v>
      </x:c>
      <x:c r="G5" s="6" t="str">
        <x:f t="shared" ref="G5:G7" si="1">LEFT(D5,LEN(D5)-1)&amp;"1"</x:f>
        <x:v>10.12.0.1</x:v>
      </x:c>
      <x:c r="H5" s="6" t="str">
        <x:f ca="1">LEFT(D5,FIND(".",D5,FIND(".",D5)+1)-1)&amp;".255.254"</x:f>
        <x:v>10.12.255.254</x:v>
      </x:c>
      <x:c r="I5" s="6">
        <x:v>10</x:v>
      </x:c>
      <x:c r="J5" s="15">
        <x:v>21</x:v>
      </x:c>
      <x:c r="K5" s="15">
        <x:v>5</x:v>
      </x:c>
    </x:row>
    <x:row r="6" ht="15.75" customHeight="1">
      <x:c r="A6" s="6" t="s">
        <x:v>27</x:v>
      </x:c>
      <x:c r="B6" s="7">
        <x:v>20</x:v>
      </x:c>
      <x:c r="C6" s="6">
        <x:v>0</x:v>
      </x:c>
      <x:c r="D6" s="6" t="str">
        <x:f>10&amp;"."&amp;(B6+A2)&amp;"."&amp;0&amp;"."&amp;0</x:f>
        <x:v>10.22.0.0</x:v>
      </x:c>
      <x:c r="E6" s="6" t="str">
        <x:f t="shared" si="0"/>
        <x:v>10.22.0.1</x:v>
      </x:c>
      <x:c r="F6" s="6" t="s">
        <x:v>26</x:v>
      </x:c>
      <x:c r="G6" s="6" t="str">
        <x:f t="shared" si="1"/>
        <x:v>10.22.0.1</x:v>
      </x:c>
      <x:c r="H6" s="6" t="str">
        <x:f ca="1">LEFT(D6,FIND(".",D6,FIND(".",D6)+1)-1)&amp;".255.254"</x:f>
        <x:v>10.22.255.254</x:v>
      </x:c>
      <x:c r="I6" s="6">
        <x:v>10</x:v>
      </x:c>
      <x:c r="J6" s="15">
        <x:v>11</x:v>
      </x:c>
      <x:c r="K6" s="15">
        <x:v>2</x:v>
      </x:c>
    </x:row>
    <x:row r="7" ht="15.75" customHeight="1">
      <x:c r="A7" s="6" t="s">
        <x:v>28</x:v>
      </x:c>
      <x:c r="B7" s="7">
        <x:v>30</x:v>
      </x:c>
      <x:c r="C7" s="6">
        <x:v>0</x:v>
      </x:c>
      <x:c r="D7" s="6" t="str">
        <x:f>10&amp;"."&amp;(B7+A2)&amp;"."&amp;0&amp;"."&amp;0</x:f>
        <x:v>10.32.0.0</x:v>
      </x:c>
      <x:c r="E7" s="6" t="str">
        <x:f t="shared" si="0"/>
        <x:v>10.32.0.1</x:v>
      </x:c>
      <x:c r="F7" s="6" t="s">
        <x:v>26</x:v>
      </x:c>
      <x:c r="G7" s="6" t="str">
        <x:f t="shared" si="1"/>
        <x:v>10.32.0.1</x:v>
      </x:c>
      <x:c r="H7" s="6" t="str">
        <x:f ca="1">LEFT(D7,FIND(".",D7,FIND(".",D7)+1)-1)&amp;".255.254"</x:f>
        <x:v>10.32.255.254</x:v>
      </x:c>
      <x:c r="I7" s="6">
        <x:v>10</x:v>
      </x:c>
      <x:c r="J7">
        <x:v>41</x:v>
      </x:c>
      <x:c r="K7">
        <x:v>10</x:v>
      </x:c>
    </x:row>
    <x:row r="8" ht="15.75" customHeight="1">
      <x:c r="A8" s="8"/>
      <x:c r="B8" s="8"/>
    </x:row>
    <x:row r="9" ht="15.75" customHeight="1">
      <x:c r="A9" s="5" t="s">
        <x:v>14</x:v>
      </x:c>
      <x:c r="B9" s="5" t="s">
        <x:v>29</x:v>
      </x:c>
      <x:c r="C9" s="5" t="s">
        <x:v>30</x:v>
      </x:c>
      <x:c r="D9" s="5" t="s">
        <x:v>31</x:v>
      </x:c>
    </x:row>
    <x:row r="10" ht="15.75" customHeight="1">
      <x:c r="A10" s="6" t="s">
        <x:v>25</x:v>
      </x:c>
      <x:c r="B10" s="7" t="s">
        <x:v>32</x:v>
      </x:c>
      <x:c r="C10" s="6">
        <x:v>10</x:v>
      </x:c>
      <x:c r="D10" s="6" t="str">
        <x:f>A2&amp;"."&amp;A2&amp;"."&amp;A2&amp;"."&amp;(C10)</x:f>
        <x:v>2.2.2.10</x:v>
      </x:c>
    </x:row>
    <x:row r="11" ht="15.75" customHeight="1">
      <x:c r="A11" s="6" t="s">
        <x:v>27</x:v>
      </x:c>
      <x:c r="B11" s="7" t="s">
        <x:v>33</x:v>
      </x:c>
      <x:c r="C11" s="6">
        <x:v>20</x:v>
      </x:c>
      <x:c r="D11" s="6" t="str">
        <x:f>A2&amp;"."&amp;A2&amp;"."&amp;A2&amp;"."&amp;(C11)</x:f>
        <x:v>2.2.2.20</x:v>
      </x:c>
    </x:row>
    <x:row r="12" ht="15.75" customHeight="1">
      <x:c r="A12" s="6" t="s">
        <x:v>28</x:v>
      </x:c>
      <x:c r="B12" s="7" t="s">
        <x:v>34</x:v>
      </x:c>
      <x:c r="C12" s="6">
        <x:v>30</x:v>
      </x:c>
      <x:c r="D12" s="6" t="str">
        <x:f>A2&amp;"."&amp;A2&amp;"."&amp;A2&amp;"."&amp;(C12)</x:f>
        <x:v>2.2.2.30</x:v>
      </x:c>
    </x:row>
    <x:row r="13" ht="15.75" customHeight="1"/>
    <x:row r="14" ht="15.75" customHeight="1">
      <x:c r="A14" s="5" t="s">
        <x:v>35</x:v>
      </x:c>
      <x:c r="B14" s="5" t="s">
        <x:v>14</x:v>
      </x:c>
      <x:c r="C14" s="5" t="s">
        <x:v>36</x:v>
      </x:c>
      <x:c r="D14" s="5" t="s">
        <x:v>19</x:v>
      </x:c>
      <x:c r="E14" s="5" t="s">
        <x:v>37</x:v>
      </x:c>
      <x:c r="F14" s="12" t="s">
        <x:v>38</x:v>
      </x:c>
      <x:c r="G14" s="12" t="s">
        <x:v>39</x:v>
      </x:c>
      <x:c r="H14" s="13" t="s">
        <x:v>40</x:v>
      </x:c>
      <x:c r="I14" s="13" t="s">
        <x:v>41</x:v>
      </x:c>
      <x:c r="J14" s="13" t="s">
        <x:v>42</x:v>
      </x:c>
    </x:row>
    <x:row r="15" ht="15.75" customHeight="1">
      <x:c r="A15" s="6" t="s">
        <x:v>43</x:v>
      </x:c>
      <x:c r="B15" s="6" t="s">
        <x:v>25</x:v>
      </x:c>
      <x:c r="C15" s="6" t="str">
        <x:f>172&amp;"."&amp;16&amp;"."&amp;0&amp;"."&amp;(H15+A2)</x:f>
        <x:v>172.16.0.12</x:v>
      </x:c>
      <x:c r="D15" s="6" t="s">
        <x:v>44</x:v>
      </x:c>
      <x:c r="E15" s="6" t="str">
        <x:f t="shared" ref="E15:E16" si="2">$C$2</x:f>
        <x:v>2.2.2.0</x:v>
      </x:c>
      <x:c r="F15" s="6"/>
      <x:c r="G15" s="6" t="s">
        <x:v>45</x:v>
      </x:c>
      <x:c r="H15" s="2">
        <x:v>10</x:v>
      </x:c>
      <x:c r="I15" s="2" t="n">
        <x:f t="array" ref="I15">'Site 1 (HUB)'!I15</x:f>
        <x:v>0</x:v>
      </x:c>
      <x:c r="J15" s="2"/>
    </x:row>
    <x:row r="16" ht="15.75" customHeight="1">
      <x:c r="A16" s="6" t="s">
        <x:v>46</x:v>
      </x:c>
      <x:c r="B16" s="6" t="s">
        <x:v>28</x:v>
      </x:c>
      <x:c r="C16" s="6" t="str">
        <x:f>172&amp;"."&amp;16&amp;"."&amp;0&amp;"."&amp;(H16+A2)</x:f>
        <x:v>172.16.0.32</x:v>
      </x:c>
      <x:c r="D16" s="6" t="s">
        <x:v>44</x:v>
      </x:c>
      <x:c r="E16" s="6" t="str">
        <x:f t="shared" si="2"/>
        <x:v>2.2.2.0</x:v>
      </x:c>
      <x:c r="F16" s="6"/>
      <x:c r="G16" s="6" t="s">
        <x:v>45</x:v>
      </x:c>
      <x:c r="H16" s="2">
        <x:v>30</x:v>
      </x:c>
      <x:c r="I16" s="2" t="b">
        <x:f t="array" ref="I16">'Site 1 (HUB)'!I16</x:f>
        <x:v>1</x:v>
      </x:c>
      <x:c r="J16" s="2"/>
    </x:row>
    <x:row r="17" ht="15.75" customHeight="1"/>
    <x:row r="18" ht="15.75" customHeight="1">
      <x:c r="A18" s="10" t="s">
        <x:v>0</x:v>
      </x:c>
      <x:c r="B18" s="10" t="s">
        <x:v>3</x:v>
      </x:c>
      <x:c r="C18" s="10" t="s">
        <x:v>4</x:v>
      </x:c>
      <x:c r="D18" s="10" t="s">
        <x:v>5</x:v>
      </x:c>
      <x:c r="E18" s="10" t="s">
        <x:v>6</x:v>
      </x:c>
      <x:c r="F18" s="37" t="str">
        <x:v>ISP-VLAN</x:v>
      </x:c>
      <x:c r="G18" s="37" t="str">
        <x:v>etherchan_num</x:v>
      </x:c>
    </x:row>
    <x:row r="19" ht="15.75" customHeight="1">
      <x:c r="A19" s="11" t="n">
        <x:f>A2</x:f>
        <x:v>2</x:v>
      </x:c>
      <x:c r="B19" s="11" t="s">
        <x:v>10</x:v>
      </x:c>
      <x:c r="C19" s="11" t="s">
        <x:v>11</x:v>
      </x:c>
      <x:c r="D19" s="11" t="s">
        <x:v>12</x:v>
      </x:c>
      <x:c r="E19" s="11" t="s">
        <x:v>11</x:v>
      </x:c>
      <x:c r="F19" s="43"/>
      <x:c r="G19" s="43" t="n">
        <x:v>1</x:v>
      </x:c>
    </x:row>
    <x:row r="20" ht="15.75" customHeight="1"/>
    <x:row r="21" ht="15.75" customHeight="1">
      <x:c r="A21" s="5" t="s">
        <x:v>48</x:v>
      </x:c>
      <x:c r="B21" s="5" t="s">
        <x:v>49</x:v>
      </x:c>
      <x:c r="C21" s="5" t="s">
        <x:v>50</x:v>
      </x:c>
      <x:c r="D21" s="5" t="s">
        <x:v>18</x:v>
      </x:c>
      <x:c r="E21" s="5" t="s">
        <x:v>19</x:v>
      </x:c>
      <x:c r="F21" s="47" t="str">
        <x:v>num_ports_tot</x:v>
      </x:c>
      <x:c r="G21" s="47" t="str">
        <x:v>skiped_ports</x:v>
      </x:c>
      <x:c r="H21" s="47" t="str">
        <x:v>num_downlink</x:v>
      </x:c>
      <x:c r="I21" s="47" t="str">
        <x:v>vlan-antall</x:v>
      </x:c>
      <x:c r="J21" s="47" t="str">
        <x:v>intf_prefix</x:v>
      </x:c>
      <x:c r="K21" s="37" t="str">
        <x:v>num_port_ledig</x:v>
      </x:c>
    </x:row>
    <x:row r="22" ht="15.75" customHeight="1">
      <x:c r="A22" s="6" t="n">
        <x:f>(ROW())-(ROW()-1)</x:f>
        <x:v>1</x:v>
      </x:c>
      <x:c r="B22" s="6">
        <x:v>10</x:v>
      </x:c>
      <x:c r="C22" s="6" t="str">
        <x:f>LEFT($G$5,LEN($G$5)-1)&amp;(RIGHT($G$5,1)+A22)</x:f>
        <x:v>10.12.0.2</x:v>
      </x:c>
      <x:c r="D22" s="6" t="str">
        <x:f>$E$5</x:f>
        <x:v>10.12.0.1</x:v>
      </x:c>
      <x:c r="E22" s="6" t="str">
        <x:f>$F$5</x:f>
        <x:v>255.255.0.0</x:v>
      </x:c>
      <x:c r="F22" s="63" t="n">
        <x:v>4</x:v>
      </x:c>
      <x:c r="G22" s="63" t="n">
        <x:v>0</x:v>
      </x:c>
      <x:c r="H22" s="63" t="n">
        <x:v>1</x:v>
      </x:c>
      <x:c r="I22" s="51" t="str">
        <x:v>20.1</x:v>
      </x:c>
      <x:c r="J22" s="51" t="str">
        <x:v>g0/</x:v>
      </x:c>
      <x:c r="K22" s="43" t="n">
        <x:f>F22-G22-2-H22*$G$19</x:f>
        <x:v>1</x:v>
      </x:c>
    </x:row>
    <x:row r="23" ht="15.75" customHeight="1">
      <x:c r="A23" s="17">
        <x:v>2</x:v>
      </x:c>
      <x:c r="B23" s="17">
        <x:v>10</x:v>
      </x:c>
      <x:c r="C23" s="17" t="str">
        <x:f>LEFT($G$5,LEN($G$5)-1)&amp;(RIGHT($G$5,1)+A23)</x:f>
        <x:v>10.12.0.3</x:v>
      </x:c>
      <x:c r="D23" s="17" t="str">
        <x:f>$E$5</x:f>
        <x:v>10.12.0.1</x:v>
      </x:c>
      <x:c r="E23" s="17" t="str">
        <x:f>$F$5</x:f>
        <x:v>255.255.0.0</x:v>
      </x:c>
      <x:c r="F23" s="63" t="n">
        <x:v>4</x:v>
      </x:c>
      <x:c r="G23" s="63" t="n">
        <x:v>0</x:v>
      </x:c>
      <x:c r="H23" s="63" t="n">
        <x:v>2</x:v>
      </x:c>
      <x:c r="I23" s="51" t="str">
        <x:v>20.0-30.0</x:v>
      </x:c>
      <x:c r="J23" s="51" t="str">
        <x:v>g0/</x:v>
      </x:c>
      <x:c r="K23" s="43" t="n">
        <x:f>F23-G23-2-H23*$G$19</x:f>
        <x:v>0</x:v>
      </x:c>
    </x:row>
    <x:row r="24" ht="15.75" customHeight="1"/>
    <x:row r="25" ht="15.75" customHeight="1"/>
    <x:row r="26" ht="15.75" customHeight="1"/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</x:sheetData>
  <x:dataValidations count="1">
    <x:dataValidation type="custom" allowBlank="1" showInputMessage="1" showErrorMessage="1" sqref="H22:H23">
      <x:formula1>IF(H22="",TRUE,SUM(--_xlfn.TEXTAFTER(_xlfn.TEXTSPLIT(H22,"-"),"."))&lt;=J22)</x:formula1>
    </x:dataValidation>
  </x:dataValidations>
  <x:pageMargins left="0.7" right="0.7" top="0.75" bottom="0.75" header="0.3" footer="0.3"/>
  <x:tableParts count="6">
    <x:tablePart xmlns:r="http://schemas.openxmlformats.org/officeDocument/2006/relationships" r:id="R3aacb2c871d349cc"/>
    <x:tablePart xmlns:r="http://schemas.openxmlformats.org/officeDocument/2006/relationships" r:id="R194a7e60635f4f03"/>
    <x:tablePart xmlns:r="http://schemas.openxmlformats.org/officeDocument/2006/relationships" r:id="Rbe99e6f5dfa3473b"/>
    <x:tablePart xmlns:r="http://schemas.openxmlformats.org/officeDocument/2006/relationships" r:id="R4e88a2d2cf264516"/>
    <x:tablePart xmlns:r="http://schemas.openxmlformats.org/officeDocument/2006/relationships" r:id="R2b18250b416a42ce"/>
    <x:tablePart xmlns:r="http://schemas.openxmlformats.org/officeDocument/2006/relationships" r:id="R51630b3790374145"/>
  </x:tableParts>
</x:worksheet>
</file>