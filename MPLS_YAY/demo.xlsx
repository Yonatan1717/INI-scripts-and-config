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onat\Videos\INI\MPLS_YAY\"/>
    </mc:Choice>
  </mc:AlternateContent>
  <xr:revisionPtr revIDLastSave="0" documentId="13_ncr:1_{E6C47541-FCA2-4835-99A4-BA58710AF16C}" xr6:coauthVersionLast="47" xr6:coauthVersionMax="47" xr10:uidLastSave="{00000000-0000-0000-0000-000000000000}"/>
  <bookViews>
    <workbookView xWindow="-105" yWindow="0" windowWidth="28755" windowHeight="20985" xr2:uid="{00000000-000D-0000-FFFF-FFFF00000000}"/>
  </bookViews>
  <sheets>
    <sheet name="Site 1 (HUB)" sheetId="1" r:id="rId1"/>
    <sheet name="Site 2" sheetId="2" r:id="rId2"/>
    <sheet name="Site 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2" l="1"/>
  <c r="K26" i="1"/>
  <c r="K25" i="1"/>
  <c r="E25" i="4"/>
  <c r="A25" i="4"/>
  <c r="K25" i="4" s="1"/>
  <c r="A22" i="4"/>
  <c r="I19" i="4"/>
  <c r="C19" i="4"/>
  <c r="I18" i="4" a="1"/>
  <c r="I18" i="4" s="1"/>
  <c r="C18" i="4"/>
  <c r="I17" i="4" a="1"/>
  <c r="I17" i="4" s="1"/>
  <c r="C17" i="4"/>
  <c r="D14" i="4"/>
  <c r="D13" i="4"/>
  <c r="D12" i="4"/>
  <c r="D11" i="4"/>
  <c r="D8" i="4"/>
  <c r="G8" i="4" s="1"/>
  <c r="H7" i="4"/>
  <c r="G7" i="4"/>
  <c r="E7" i="4"/>
  <c r="D7" i="4"/>
  <c r="H6" i="4"/>
  <c r="G6" i="4"/>
  <c r="E6" i="4"/>
  <c r="D6" i="4"/>
  <c r="H5" i="4"/>
  <c r="G5" i="4"/>
  <c r="C25" i="4" s="1"/>
  <c r="E5" i="4"/>
  <c r="D25" i="4" s="1"/>
  <c r="D5" i="4"/>
  <c r="H2" i="4"/>
  <c r="C2" i="4"/>
  <c r="E25" i="2"/>
  <c r="A25" i="2"/>
  <c r="A22" i="2"/>
  <c r="I19" i="2"/>
  <c r="C19" i="2"/>
  <c r="I18" i="2" a="1"/>
  <c r="I18" i="2" s="1"/>
  <c r="C18" i="2"/>
  <c r="I17" i="2" a="1"/>
  <c r="I17" i="2" s="1"/>
  <c r="C17" i="2"/>
  <c r="D14" i="2"/>
  <c r="D13" i="2"/>
  <c r="D12" i="2"/>
  <c r="D11" i="2"/>
  <c r="H8" i="2"/>
  <c r="G8" i="2"/>
  <c r="E8" i="2"/>
  <c r="D8" i="2"/>
  <c r="H7" i="2"/>
  <c r="G7" i="2"/>
  <c r="E7" i="2"/>
  <c r="D7" i="2"/>
  <c r="H6" i="2"/>
  <c r="G6" i="2"/>
  <c r="E6" i="2"/>
  <c r="D6" i="2"/>
  <c r="D5" i="2"/>
  <c r="H5" i="2" s="1"/>
  <c r="H2" i="2"/>
  <c r="C2" i="2"/>
  <c r="E26" i="1"/>
  <c r="E25" i="1"/>
  <c r="A25" i="1"/>
  <c r="A22" i="1"/>
  <c r="C19" i="1"/>
  <c r="C18" i="1"/>
  <c r="C17" i="1"/>
  <c r="D14" i="1"/>
  <c r="D13" i="1"/>
  <c r="D12" i="1"/>
  <c r="D11" i="1"/>
  <c r="D8" i="1"/>
  <c r="E8" i="1" s="1"/>
  <c r="D7" i="1"/>
  <c r="E7" i="1" s="1"/>
  <c r="D6" i="1"/>
  <c r="H6" i="1" s="1"/>
  <c r="D5" i="1"/>
  <c r="H5" i="1" s="1"/>
  <c r="C2" i="1"/>
  <c r="G7" i="1" l="1"/>
  <c r="H7" i="1"/>
  <c r="H8" i="1"/>
  <c r="G8" i="1"/>
  <c r="E5" i="1"/>
  <c r="G5" i="1"/>
  <c r="E5" i="2"/>
  <c r="D25" i="2" s="1"/>
  <c r="E8" i="4"/>
  <c r="H8" i="4"/>
  <c r="E6" i="1"/>
  <c r="G5" i="2"/>
  <c r="C25" i="2" s="1"/>
  <c r="G6" i="1"/>
  <c r="C26" i="1" l="1"/>
  <c r="C25" i="1"/>
  <c r="D26" i="1"/>
  <c r="D25" i="1"/>
</calcChain>
</file>

<file path=xl/sharedStrings.xml><?xml version="1.0" encoding="utf-8"?>
<sst xmlns="http://schemas.openxmlformats.org/spreadsheetml/2006/main" count="289" uniqueCount="66">
  <si>
    <t>site</t>
  </si>
  <si>
    <t>intf_prefix</t>
  </si>
  <si>
    <t>router-id</t>
  </si>
  <si>
    <t>brukernavn</t>
  </si>
  <si>
    <t>passord</t>
  </si>
  <si>
    <t>vty_lines</t>
  </si>
  <si>
    <t>secret</t>
  </si>
  <si>
    <t>tacacs_key</t>
  </si>
  <si>
    <t>DHCP</t>
  </si>
  <si>
    <t>dns_servers</t>
  </si>
  <si>
    <t>g0/</t>
  </si>
  <si>
    <t>admin</t>
  </si>
  <si>
    <t>$9$0nNdTjfcaOQFlP$4VgON16XmZXlfGr4BcOzEN7OoRxfPIAcXDQ0afwx67k</t>
  </si>
  <si>
    <t>0 - 15</t>
  </si>
  <si>
    <t>TACACS-KEY</t>
  </si>
  <si>
    <t>192.168.255.1</t>
  </si>
  <si>
    <t>vrf</t>
  </si>
  <si>
    <t>vlan</t>
  </si>
  <si>
    <t>interface</t>
  </si>
  <si>
    <t>nett id</t>
  </si>
  <si>
    <t>gateway</t>
  </si>
  <si>
    <t>mask</t>
  </si>
  <si>
    <t>address min</t>
  </si>
  <si>
    <t>address max</t>
  </si>
  <si>
    <t>antall-res</t>
  </si>
  <si>
    <t>pri-afxx</t>
  </si>
  <si>
    <t>pri-1-10</t>
  </si>
  <si>
    <t>MGMT</t>
  </si>
  <si>
    <t>255.255.0.0</t>
  </si>
  <si>
    <t>INET</t>
  </si>
  <si>
    <t>UNET</t>
  </si>
  <si>
    <t>PA</t>
  </si>
  <si>
    <t>rt</t>
  </si>
  <si>
    <t>loopback</t>
  </si>
  <si>
    <t>laddr</t>
  </si>
  <si>
    <t>1337:10</t>
  </si>
  <si>
    <t>1337:20</t>
  </si>
  <si>
    <t>1337:30</t>
  </si>
  <si>
    <t>1337:40</t>
  </si>
  <si>
    <t>tunnel id</t>
  </si>
  <si>
    <t>ip address</t>
  </si>
  <si>
    <t>source</t>
  </si>
  <si>
    <t>destination</t>
  </si>
  <si>
    <t>gre mode</t>
  </si>
  <si>
    <t>network-id</t>
  </si>
  <si>
    <t>ipsec</t>
  </si>
  <si>
    <t>ipsec key</t>
  </si>
  <si>
    <t>tunnel 10</t>
  </si>
  <si>
    <t>255.255.255.0</t>
  </si>
  <si>
    <t>multipoint</t>
  </si>
  <si>
    <t>tunnel 30</t>
  </si>
  <si>
    <t>tunnel 40</t>
  </si>
  <si>
    <t>etherchan_num</t>
  </si>
  <si>
    <t>span_mode</t>
  </si>
  <si>
    <t>SW</t>
  </si>
  <si>
    <t>MGMT Vlan</t>
  </si>
  <si>
    <t>MGMT ip</t>
  </si>
  <si>
    <t>num_ports_tot</t>
  </si>
  <si>
    <t>skiped_ports</t>
  </si>
  <si>
    <t>num_downlink</t>
  </si>
  <si>
    <t>vlan-antall</t>
  </si>
  <si>
    <t>num_port_ledig</t>
  </si>
  <si>
    <t>10.1-200.1-20.5-30.5-40.2</t>
  </si>
  <si>
    <t>erspan_destination</t>
  </si>
  <si>
    <t>MONITORING ip</t>
  </si>
  <si>
    <t>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</si>
</sst>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</font>
    <font>
      <sz val="10"/>
      <color theme="1"/>
      <name val="Arial"/>
    </font>
    <font>
      <b/>
      <sz val="11"/>
      <color rgb="FF000000"/>
      <name val="Arial"/>
    </font>
    <font>
      <b/>
      <sz val="11"/>
      <color theme="1"/>
      <name val="Arial"/>
    </font>
    <font>
      <sz val="11"/>
      <color rgb="FF000000"/>
      <name val="Arial"/>
    </font>
    <font>
      <sz val="11"/>
      <color theme="1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1"/>
      <color rgb="FF000000"/>
      <name val="Arial"/>
    </font>
    <font>
      <sz val="10"/>
      <color theme="1"/>
      <name val="Arial"/>
    </font>
    <font>
      <sz val="11"/>
      <color theme="1"/>
      <name val="Arial"/>
    </font>
    <font>
      <sz val="11"/>
      <color rgb="FF000000"/>
      <name val="Arial"/>
    </font>
    <font>
      <b/>
      <sz val="11"/>
      <name val="Arial"/>
    </font>
    <font>
      <sz val="11"/>
      <name val="Arial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6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9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1" fillId="0" borderId="0" xfId="0" applyFont="1"/>
    <xf numFmtId="0" fontId="14" fillId="0" borderId="0" xfId="0" applyFont="1"/>
    <xf numFmtId="0" fontId="14" fillId="0" borderId="0" xfId="0" applyFont="1" applyAlignment="1">
      <alignment horizontal="left" vertical="center"/>
    </xf>
  </cellXfs>
  <cellStyles count="1">
    <cellStyle name="Normal" xfId="0" builtinId="0"/>
  </cellStyles>
  <dxfs count="143"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color theme="1"/>
      </font>
    </dxf>
    <dxf>
      <font>
        <color theme="1"/>
      </font>
      <numFmt numFmtId="0" formatCode="General"/>
    </dxf>
    <dxf>
      <font>
        <color theme="1"/>
      </font>
    </dxf>
    <dxf>
      <font>
        <sz val="11"/>
        <color theme="1"/>
      </font>
    </dxf>
    <dxf>
      <font>
        <sz val="11"/>
      </font>
    </dxf>
    <dxf>
      <font>
        <u val="none"/>
        <sz val="11"/>
        <color rgb="FF000000"/>
        <name val="Arial"/>
        <scheme val="none"/>
      </font>
    </dxf>
    <dxf>
      <font>
        <u val="none"/>
        <sz val="11"/>
        <color rgb="FF000000"/>
        <name val="Arial"/>
        <scheme val="none"/>
      </font>
    </dxf>
    <dxf>
      <font>
        <sz val="11"/>
      </font>
    </dxf>
    <dxf>
      <font>
        <sz val="11"/>
      </font>
      <numFmt numFmtId="0" formatCode="General"/>
    </dxf>
    <dxf>
      <font>
        <sz val="11"/>
      </font>
      <numFmt numFmtId="0" formatCode="General"/>
    </dxf>
    <dxf>
      <font>
        <sz val="11"/>
      </font>
    </dxf>
    <dxf>
      <font>
        <sz val="11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theme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  <numFmt numFmtId="0" formatCode="General"/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  <numFmt numFmtId="30" formatCode="@"/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color theme="1"/>
      </font>
      <numFmt numFmtId="0" formatCode="General"/>
    </dxf>
    <dxf>
      <font>
        <color theme="1"/>
      </font>
    </dxf>
    <dxf>
      <font>
        <sz val="11"/>
        <color theme="1"/>
      </font>
    </dxf>
    <dxf>
      <font>
        <sz val="11"/>
      </font>
    </dxf>
    <dxf>
      <font>
        <u val="none"/>
        <sz val="11"/>
        <color rgb="FF000000"/>
        <name val="Arial"/>
        <scheme val="none"/>
      </font>
    </dxf>
    <dxf>
      <font>
        <u val="none"/>
        <sz val="11"/>
        <color rgb="FF000000"/>
        <name val="Arial"/>
        <scheme val="none"/>
      </font>
    </dxf>
    <dxf>
      <font>
        <sz val="11"/>
      </font>
    </dxf>
    <dxf>
      <font>
        <sz val="11"/>
      </font>
      <numFmt numFmtId="0" formatCode="General"/>
    </dxf>
    <dxf>
      <font>
        <sz val="11"/>
      </font>
      <numFmt numFmtId="0" formatCode="General"/>
    </dxf>
    <dxf>
      <font>
        <sz val="11"/>
      </font>
    </dxf>
    <dxf>
      <font>
        <sz val="11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theme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  <numFmt numFmtId="0" formatCode="General"/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  <numFmt numFmtId="30" formatCode="@"/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color theme="1"/>
      </font>
      <numFmt numFmtId="0" formatCode="General"/>
    </dxf>
    <dxf>
      <font>
        <color theme="1"/>
      </font>
    </dxf>
    <dxf>
      <font>
        <sz val="11"/>
        <color theme="1"/>
      </font>
    </dxf>
    <dxf>
      <font>
        <sz val="11"/>
      </font>
    </dxf>
    <dxf>
      <font>
        <u val="none"/>
        <sz val="11"/>
        <color rgb="FF000000"/>
        <name val="Arial"/>
        <scheme val="none"/>
      </font>
    </dxf>
    <dxf>
      <font>
        <u val="none"/>
        <sz val="11"/>
        <color rgb="FF000000"/>
        <name val="Arial"/>
        <scheme val="none"/>
      </font>
    </dxf>
    <dxf>
      <font>
        <sz val="11"/>
      </font>
    </dxf>
    <dxf>
      <font>
        <sz val="11"/>
      </font>
      <numFmt numFmtId="0" formatCode="General"/>
    </dxf>
    <dxf>
      <font>
        <sz val="11"/>
      </font>
      <numFmt numFmtId="0" formatCode="General"/>
    </dxf>
    <dxf>
      <font>
        <sz val="11"/>
      </font>
    </dxf>
    <dxf>
      <font>
        <sz val="1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sz val="11"/>
        <color auto="1"/>
        <family val="2"/>
      </font>
      <numFmt numFmtId="0" formatCode="General"/>
    </dxf>
    <dxf>
      <font>
        <u val="none"/>
        <sz val="11"/>
        <color rgb="FF000000"/>
        <name val="Arial"/>
        <scheme val="none"/>
      </font>
      <numFmt numFmtId="30" formatCode="@"/>
    </dxf>
    <dxf>
      <font>
        <u val="none"/>
        <sz val="11"/>
        <color rgb="FF000000"/>
        <name val="Arial"/>
        <scheme val="none"/>
      </font>
    </dxf>
    <dxf>
      <font>
        <u val="none"/>
        <sz val="10"/>
        <color theme="1"/>
        <name val="Arial"/>
        <scheme val="none"/>
      </font>
    </dxf>
    <dxf>
      <font>
        <u val="none"/>
        <sz val="10"/>
        <color theme="1"/>
        <name val="Arial"/>
        <scheme val="none"/>
      </font>
    </dxf>
    <dxf>
      <font>
        <u val="none"/>
        <sz val="10"/>
        <color theme="1"/>
        <name val="Arial"/>
        <scheme val="none"/>
      </font>
    </dxf>
    <dxf>
      <font>
        <u val="none"/>
        <sz val="10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l5" displayName="Tabell5" ref="A1:J2">
  <tableColumns count="10">
    <tableColumn id="1" xr3:uid="{00000000-0010-0000-0000-000001000000}" name="site"/>
    <tableColumn id="2" xr3:uid="{00000000-0010-0000-0000-000002000000}" name="intf_prefix"/>
    <tableColumn id="3" xr3:uid="{00000000-0010-0000-0000-000003000000}" name="router-id"/>
    <tableColumn id="4" xr3:uid="{00000000-0010-0000-0000-000004000000}" name="brukernavn"/>
    <tableColumn id="5" xr3:uid="{00000000-0010-0000-0000-000005000000}" name="passord"/>
    <tableColumn id="6" xr3:uid="{00000000-0010-0000-0000-000006000000}" name="vty_lines"/>
    <tableColumn id="7" xr3:uid="{00000000-0010-0000-0000-000007000000}" name="secret" dataDxfId="142"/>
    <tableColumn id="8" xr3:uid="{00000000-0010-0000-0000-000008000000}" name="tacacs_key" dataDxfId="141"/>
    <tableColumn id="9" xr3:uid="{00000000-0010-0000-0000-000009000000}" name="DHCP" dataDxfId="140"/>
    <tableColumn id="10" xr3:uid="{00000000-0010-0000-0000-00000A000000}" name="dns_servers" dataDxfId="139"/>
  </tableColumns>
  <tableStyleInfo name="TableStyleLight12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ell6" displayName="Tabell6" ref="A4:K8">
  <tableColumns count="11">
    <tableColumn id="1" xr3:uid="{00000000-0010-0000-0100-000001000000}" name="vrf"/>
    <tableColumn id="2" xr3:uid="{00000000-0010-0000-0100-000002000000}" name="vlan"/>
    <tableColumn id="3" xr3:uid="{00000000-0010-0000-0100-000003000000}" name="interface"/>
    <tableColumn id="4" xr3:uid="{00000000-0010-0000-0100-000004000000}" name="nett id"/>
    <tableColumn id="5" xr3:uid="{00000000-0010-0000-0100-000005000000}" name="gateway"/>
    <tableColumn id="6" xr3:uid="{00000000-0010-0000-0100-000006000000}" name="mask"/>
    <tableColumn id="7" xr3:uid="{00000000-0010-0000-0100-000007000000}" name="address min"/>
    <tableColumn id="8" xr3:uid="{00000000-0010-0000-0100-000008000000}" name="address max"/>
    <tableColumn id="9" xr3:uid="{00000000-0010-0000-0100-000009000000}" name="antall-res" dataDxfId="138"/>
    <tableColumn id="10" xr3:uid="{00000000-0010-0000-0100-00000A000000}" name="pri-afxx"/>
    <tableColumn id="11" xr3:uid="{00000000-0010-0000-0100-00000B000000}" name="pri-1-10"/>
  </tableColumns>
  <tableStyleInfo name="TableStyleLight1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ell7" displayName="Tabell7" ref="A10:D14">
  <tableColumns count="4">
    <tableColumn id="1" xr3:uid="{00000000-0010-0000-0200-000001000000}" name="vrf"/>
    <tableColumn id="2" xr3:uid="{00000000-0010-0000-0200-000002000000}" name="rt" dataDxfId="137"/>
    <tableColumn id="3" xr3:uid="{00000000-0010-0000-0200-000003000000}" name="loopback"/>
    <tableColumn id="4" xr3:uid="{00000000-0010-0000-0200-000004000000}" name="laddr">
      <calculatedColumnFormula>$A$2&amp;"."&amp;$A$2&amp;"."&amp;$A$2&amp;"."&amp;(C11)</calculatedColumnFormula>
    </tableColumn>
  </tableColumns>
  <tableStyleInfo name="TableStyleLight1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3000000}" name="Tabell8" displayName="Tabell8" ref="A16:J19">
  <tableColumns count="10">
    <tableColumn id="1" xr3:uid="{00000000-0010-0000-0300-000001000000}" name="tunnel id"/>
    <tableColumn id="2" xr3:uid="{00000000-0010-0000-0300-000002000000}" name="vrf"/>
    <tableColumn id="3" xr3:uid="{00000000-0010-0000-0300-000003000000}" name="ip address">
      <calculatedColumnFormula>172&amp;"."&amp;16&amp;"."&amp;0&amp;"."&amp;(H17+$A$2)</calculatedColumnFormula>
    </tableColumn>
    <tableColumn id="4" xr3:uid="{00000000-0010-0000-0300-000004000000}" name="mask"/>
    <tableColumn id="5" xr3:uid="{00000000-0010-0000-0300-000005000000}" name="source" dataDxfId="136">
      <calculatedColumnFormula>LEFT($C$2,LEN($C$2)-1)&amp;Tabell427[[#This Row],[network-id]]</calculatedColumnFormula>
    </tableColumn>
    <tableColumn id="6" xr3:uid="{00000000-0010-0000-0300-000006000000}" name="destination"/>
    <tableColumn id="7" xr3:uid="{00000000-0010-0000-0300-000007000000}" name="gre mode"/>
    <tableColumn id="8" xr3:uid="{00000000-0010-0000-0300-000008000000}" name="network-id"/>
    <tableColumn id="9" xr3:uid="{00000000-0010-0000-0300-000009000000}" name="ipsec"/>
    <tableColumn id="10" xr3:uid="{00000000-0010-0000-0300-00000A000000}" name="ipsec key"/>
  </tableColumns>
  <tableStyleInfo name="TableStyleLight1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4000000}" name="Tabell131921" displayName="Tabell131921" ref="A21:H22" dataDxfId="135">
  <tableColumns count="8">
    <tableColumn id="1" xr3:uid="{00000000-0010-0000-0400-000001000000}" name="site" dataDxfId="134">
      <calculatedColumnFormula>A2</calculatedColumnFormula>
    </tableColumn>
    <tableColumn id="2" xr3:uid="{00000000-0010-0000-0400-000002000000}" name="brukernavn" dataDxfId="133"/>
    <tableColumn id="4" xr3:uid="{00000000-0010-0000-0400-000004000000}" name="passord" dataDxfId="132"/>
    <tableColumn id="5" xr3:uid="{00000000-0010-0000-0400-000005000000}" name="vty_lines" dataDxfId="131"/>
    <tableColumn id="3" xr3:uid="{00000000-0010-0000-0400-000003000000}" name="secret" dataDxfId="130"/>
    <tableColumn id="6" xr3:uid="{00000000-0010-0000-0400-000006000000}" name="etherchan_num" dataDxfId="129"/>
    <tableColumn id="7" xr3:uid="{00000000-0010-0000-0400-000007000000}" name="span_mode" dataDxfId="128"/>
    <tableColumn id="8" xr3:uid="{E3CDB376-BDF2-4A36-99B7-59A8CFE2FEC7}" name="erspan_destination" dataDxfId="2"/>
  </tableColumns>
  <tableStyleInfo name="TableStyleLight1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abell1618242825" displayName="Tabell1618242825" ref="A24:L26" totalsRowShown="0">
  <tableColumns count="12">
    <tableColumn id="1" xr3:uid="{00000000-0010-0000-0500-000001000000}" name="SW" dataDxfId="127">
      <calculatedColumnFormula>(ROW())-(ROW()-1)</calculatedColumnFormula>
    </tableColumn>
    <tableColumn id="2" xr3:uid="{00000000-0010-0000-0500-000002000000}" name="MGMT Vlan" dataDxfId="126"/>
    <tableColumn id="3" xr3:uid="{00000000-0010-0000-0500-000003000000}" name="MGMT ip" dataDxfId="125">
      <calculatedColumnFormula>LEFT($G$5,LEN($G$5)-1)&amp;(RIGHT($G$5,1)+A25)</calculatedColumnFormula>
    </tableColumn>
    <tableColumn id="4" xr3:uid="{00000000-0010-0000-0500-000004000000}" name="gateway" dataDxfId="124">
      <calculatedColumnFormula>$E$5</calculatedColumnFormula>
    </tableColumn>
    <tableColumn id="5" xr3:uid="{00000000-0010-0000-0500-000005000000}" name="mask" dataDxfId="123">
      <calculatedColumnFormula>$F$5</calculatedColumnFormula>
    </tableColumn>
    <tableColumn id="10" xr3:uid="{00000000-0010-0000-0500-00000A000000}" name="num_ports_tot" dataDxfId="122"/>
    <tableColumn id="11" xr3:uid="{00000000-0010-0000-0500-00000B000000}" name="skiped_ports" dataDxfId="121"/>
    <tableColumn id="6" xr3:uid="{00000000-0010-0000-0500-000006000000}" name="num_downlink" dataDxfId="120"/>
    <tableColumn id="7" xr3:uid="{00000000-0010-0000-0500-000007000000}" name="vlan-antall" dataDxfId="119"/>
    <tableColumn id="8" xr3:uid="{00000000-0010-0000-0500-000008000000}" name="intf_prefix" dataDxfId="118"/>
    <tableColumn id="9" xr3:uid="{00000000-0010-0000-0500-000009000000}" name="num_port_ledig" dataDxfId="117">
      <calculatedColumnFormula>IF($A25=1,F25-G25-H25*$F$22-2-IF(OR(UPPER($G$22)="SPAN", UPPER($G$22)="ERSPAN",UPPER($G$22)="RSPAN"),1,0),F25-G25-(1+H25)*$F$22-1)</calculatedColumnFormula>
    </tableColumn>
    <tableColumn id="12" xr3:uid="{964A53B7-C761-43B5-A1BF-8B1C9A505DB2}" name="MONITORING ip"/>
  </tableColumns>
  <tableStyleInfo name="TableStyleLight1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6000000}" name="Tabell1" displayName="Tabell1" ref="A1:I2" dataDxfId="116">
  <tableColumns count="9">
    <tableColumn id="1" xr3:uid="{00000000-0010-0000-0600-000001000000}" name="site" dataDxfId="115"/>
    <tableColumn id="2" xr3:uid="{00000000-0010-0000-0600-000002000000}" name="intf_prefix" dataDxfId="114"/>
    <tableColumn id="3" xr3:uid="{00000000-0010-0000-0600-000003000000}" name="router-id" dataDxfId="113"/>
    <tableColumn id="4" xr3:uid="{00000000-0010-0000-0600-000004000000}" name="brukernavn" dataDxfId="112"/>
    <tableColumn id="5" xr3:uid="{00000000-0010-0000-0600-000005000000}" name="passord" dataDxfId="111"/>
    <tableColumn id="6" xr3:uid="{00000000-0010-0000-0600-000006000000}" name="vty_lines" dataDxfId="110"/>
    <tableColumn id="7" xr3:uid="{00000000-0010-0000-0600-000007000000}" name="secret" dataDxfId="109"/>
    <tableColumn id="8" xr3:uid="{00000000-0010-0000-0600-000008000000}" name="tacacs_key" dataDxfId="108">
      <calculatedColumnFormula>'Site 1 (HUB)'!H2</calculatedColumnFormula>
    </tableColumn>
    <tableColumn id="9" xr3:uid="{00000000-0010-0000-0600-000009000000}" name="dns_servers" dataDxfId="107"/>
  </tableColumns>
  <tableStyleInfo name="TableStyleLight1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7000000}" name="Tabell3" displayName="Tabell3" ref="A10:D14" dataDxfId="106">
  <tableColumns count="4">
    <tableColumn id="1" xr3:uid="{00000000-0010-0000-0700-000001000000}" name="vrf" dataDxfId="105"/>
    <tableColumn id="2" xr3:uid="{00000000-0010-0000-0700-000002000000}" name="rt" dataDxfId="104"/>
    <tableColumn id="3" xr3:uid="{00000000-0010-0000-0700-000003000000}" name="loopback" dataDxfId="103"/>
    <tableColumn id="4" xr3:uid="{00000000-0010-0000-0700-000004000000}" name="laddr" dataDxfId="102"/>
  </tableColumns>
  <tableStyleInfo name="TableStyleLight1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8000000}" name="Tabell4" displayName="Tabell4" ref="A16:J19" dataDxfId="101">
  <tableColumns count="10">
    <tableColumn id="1" xr3:uid="{00000000-0010-0000-0800-000001000000}" name="tunnel id" dataDxfId="100"/>
    <tableColumn id="2" xr3:uid="{00000000-0010-0000-0800-000002000000}" name="vrf" dataDxfId="99"/>
    <tableColumn id="3" xr3:uid="{00000000-0010-0000-0800-000003000000}" name="ip address" dataDxfId="98">
      <calculatedColumnFormula>172&amp;"."&amp;16&amp;"."&amp;0&amp;"."&amp;(H17+$A$2)</calculatedColumnFormula>
    </tableColumn>
    <tableColumn id="4" xr3:uid="{00000000-0010-0000-0800-000004000000}" name="mask" dataDxfId="97"/>
    <tableColumn id="5" xr3:uid="{00000000-0010-0000-0800-000005000000}" name="source" dataDxfId="96">
      <calculatedColumnFormula>LEFT($C$2,LEN($C$2)-1)&amp;Tabell427[[#This Row],[network-id]]</calculatedColumnFormula>
    </tableColumn>
    <tableColumn id="6" xr3:uid="{00000000-0010-0000-0800-000006000000}" name="destination" dataDxfId="95"/>
    <tableColumn id="7" xr3:uid="{00000000-0010-0000-0800-000007000000}" name="gre mode" dataDxfId="94"/>
    <tableColumn id="8" xr3:uid="{00000000-0010-0000-0800-000008000000}" name="network-id" dataDxfId="93"/>
    <tableColumn id="9" xr3:uid="{00000000-0010-0000-0800-000009000000}" name="ipsec" dataDxfId="92"/>
    <tableColumn id="10" xr3:uid="{00000000-0010-0000-0800-00000A000000}" name="ipsec key" dataDxfId="91"/>
  </tableColumns>
  <tableStyleInfo name="TableStyleLight12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9000000}" name="Tabell13192530" displayName="Tabell13192530" ref="A21:H22" dataDxfId="90">
  <tableColumns count="8">
    <tableColumn id="1" xr3:uid="{00000000-0010-0000-0900-000001000000}" name="site" dataDxfId="89">
      <calculatedColumnFormula>A2</calculatedColumnFormula>
    </tableColumn>
    <tableColumn id="4" xr3:uid="{00000000-0010-0000-0900-000004000000}" name="brukernavn" dataDxfId="88"/>
    <tableColumn id="5" xr3:uid="{00000000-0010-0000-0900-000005000000}" name="passord" dataDxfId="87"/>
    <tableColumn id="3" xr3:uid="{00000000-0010-0000-0900-000003000000}" name="vty_lines" dataDxfId="86"/>
    <tableColumn id="2" xr3:uid="{00000000-0010-0000-0900-000002000000}" name="secret" dataDxfId="85"/>
    <tableColumn id="6" xr3:uid="{00000000-0010-0000-0900-000006000000}" name="etherchan_num" dataDxfId="84"/>
    <tableColumn id="7" xr3:uid="{00000000-0010-0000-0900-000007000000}" name="span_mode" dataDxfId="83"/>
    <tableColumn id="8" xr3:uid="{C8B67C9C-0F53-460C-999E-46CE0051422D}" name="erspan_destination" dataDxfId="1"/>
  </tableColumns>
  <tableStyleInfo name="TableStyleLight12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A000000}" name="Tabell2" displayName="Tabell2" ref="A4:K8" dataDxfId="82">
  <tableColumns count="11">
    <tableColumn id="1" xr3:uid="{00000000-0010-0000-0A00-000001000000}" name="vrf" dataDxfId="81"/>
    <tableColumn id="2" xr3:uid="{00000000-0010-0000-0A00-000002000000}" name="vlan" dataDxfId="80"/>
    <tableColumn id="3" xr3:uid="{00000000-0010-0000-0A00-000003000000}" name="interface" dataDxfId="79"/>
    <tableColumn id="4" xr3:uid="{00000000-0010-0000-0A00-000004000000}" name="nett id" dataDxfId="78"/>
    <tableColumn id="5" xr3:uid="{00000000-0010-0000-0A00-000005000000}" name="gateway" dataDxfId="77"/>
    <tableColumn id="6" xr3:uid="{00000000-0010-0000-0A00-000006000000}" name="mask" dataDxfId="76"/>
    <tableColumn id="7" xr3:uid="{00000000-0010-0000-0A00-000007000000}" name="address min" dataDxfId="75"/>
    <tableColumn id="8" xr3:uid="{00000000-0010-0000-0A00-000008000000}" name="address max" dataDxfId="74"/>
    <tableColumn id="9" xr3:uid="{00000000-0010-0000-0A00-000009000000}" name="antall-res" dataDxfId="73"/>
    <tableColumn id="10" xr3:uid="{00000000-0010-0000-0A00-00000A000000}" name="pri-afxx" dataDxfId="72"/>
    <tableColumn id="11" xr3:uid="{00000000-0010-0000-0A00-00000B000000}" name="pri-1-10" dataDxfId="71"/>
  </tableColumns>
  <tableStyleInfo name="TableStyleLight12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0B000000}" name="Tabell161824282532" displayName="Tabell161824282532" ref="A24:L25" totalsRowShown="0">
  <tableColumns count="12">
    <tableColumn id="1" xr3:uid="{00000000-0010-0000-0B00-000001000000}" name="SW" dataDxfId="70">
      <calculatedColumnFormula>(ROW())-(ROW()-1)</calculatedColumnFormula>
    </tableColumn>
    <tableColumn id="2" xr3:uid="{00000000-0010-0000-0B00-000002000000}" name="MGMT Vlan" dataDxfId="69"/>
    <tableColumn id="3" xr3:uid="{00000000-0010-0000-0B00-000003000000}" name="MGMT ip" dataDxfId="68">
      <calculatedColumnFormula>LEFT($G$5,LEN($G$5)-1)&amp;(RIGHT($G$5,1)+A25)</calculatedColumnFormula>
    </tableColumn>
    <tableColumn id="4" xr3:uid="{00000000-0010-0000-0B00-000004000000}" name="gateway" dataDxfId="67">
      <calculatedColumnFormula>$E$5</calculatedColumnFormula>
    </tableColumn>
    <tableColumn id="5" xr3:uid="{00000000-0010-0000-0B00-000005000000}" name="mask" dataDxfId="66">
      <calculatedColumnFormula>$F$5</calculatedColumnFormula>
    </tableColumn>
    <tableColumn id="10" xr3:uid="{00000000-0010-0000-0B00-00000A000000}" name="num_ports_tot" dataDxfId="65"/>
    <tableColumn id="11" xr3:uid="{00000000-0010-0000-0B00-00000B000000}" name="skiped_ports" dataDxfId="64"/>
    <tableColumn id="6" xr3:uid="{00000000-0010-0000-0B00-000006000000}" name="num_downlink" dataDxfId="63"/>
    <tableColumn id="7" xr3:uid="{00000000-0010-0000-0B00-000007000000}" name="vlan-antall" dataDxfId="62"/>
    <tableColumn id="8" xr3:uid="{00000000-0010-0000-0B00-000008000000}" name="intf_prefix" dataDxfId="61"/>
    <tableColumn id="9" xr3:uid="{00000000-0010-0000-0B00-000009000000}" name="num_port_ledig" dataDxfId="60">
      <calculatedColumnFormula>IF($A25=1,F25-G25-H25*$F$22-2-IF(OR(UPPER($G$22)="SPAN",UPPER($G$22)="RSPAN"),1,0),F25-G25-(1+H25)*$F$22-1)</calculatedColumnFormula>
    </tableColumn>
    <tableColumn id="12" xr3:uid="{EEE2C379-7A9A-4B6D-881E-F54F37085E19}" name="MONITORING ip"/>
  </tableColumns>
  <tableStyleInfo name="TableStyleLight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C000000}" name="Tabell125" displayName="Tabell125" ref="A1:I2" dataDxfId="59">
  <tableColumns count="9">
    <tableColumn id="1" xr3:uid="{00000000-0010-0000-0C00-000001000000}" name="site" dataDxfId="58"/>
    <tableColumn id="2" xr3:uid="{00000000-0010-0000-0C00-000002000000}" name="intf_prefix" dataDxfId="57"/>
    <tableColumn id="3" xr3:uid="{00000000-0010-0000-0C00-000003000000}" name="router-id" dataDxfId="56">
      <calculatedColumnFormula>A2&amp;"."&amp;A2&amp;"."&amp;A2&amp;".0"</calculatedColumnFormula>
    </tableColumn>
    <tableColumn id="4" xr3:uid="{00000000-0010-0000-0C00-000004000000}" name="brukernavn" dataDxfId="55"/>
    <tableColumn id="5" xr3:uid="{00000000-0010-0000-0C00-000005000000}" name="passord" dataDxfId="54"/>
    <tableColumn id="6" xr3:uid="{00000000-0010-0000-0C00-000006000000}" name="vty_lines" dataDxfId="53"/>
    <tableColumn id="7" xr3:uid="{00000000-0010-0000-0C00-000007000000}" name="secret" dataDxfId="52"/>
    <tableColumn id="8" xr3:uid="{00000000-0010-0000-0C00-000008000000}" name="tacacs_key" dataDxfId="51">
      <calculatedColumnFormula>'Site 1 (HUB)'!H2</calculatedColumnFormula>
    </tableColumn>
    <tableColumn id="9" xr3:uid="{00000000-0010-0000-0C00-000009000000}" name="dns_servers" dataDxfId="50"/>
  </tableColumns>
  <tableStyleInfo name="TableStyleLight12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0D000000}" name="Tabell326" displayName="Tabell326" ref="A10:D14" dataDxfId="49">
  <tableColumns count="4">
    <tableColumn id="1" xr3:uid="{00000000-0010-0000-0D00-000001000000}" name="vrf" dataDxfId="48"/>
    <tableColumn id="2" xr3:uid="{00000000-0010-0000-0D00-000002000000}" name="rt" dataDxfId="47"/>
    <tableColumn id="3" xr3:uid="{00000000-0010-0000-0D00-000003000000}" name="loopback" dataDxfId="46"/>
    <tableColumn id="4" xr3:uid="{00000000-0010-0000-0D00-000004000000}" name="laddr" dataDxfId="45"/>
  </tableColumns>
  <tableStyleInfo name="TableStyleLight12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E000000}" name="Tabell427" displayName="Tabell427" ref="A16:J19" dataDxfId="44">
  <tableColumns count="10">
    <tableColumn id="1" xr3:uid="{00000000-0010-0000-0E00-000001000000}" name="tunnel id" dataDxfId="43"/>
    <tableColumn id="2" xr3:uid="{00000000-0010-0000-0E00-000002000000}" name="vrf" dataDxfId="42"/>
    <tableColumn id="3" xr3:uid="{00000000-0010-0000-0E00-000003000000}" name="ip address" dataDxfId="41">
      <calculatedColumnFormula>172&amp;"."&amp;16&amp;"."&amp;0&amp;"."&amp;(H17+$A$2)</calculatedColumnFormula>
    </tableColumn>
    <tableColumn id="4" xr3:uid="{00000000-0010-0000-0E00-000004000000}" name="mask" dataDxfId="40"/>
    <tableColumn id="5" xr3:uid="{00000000-0010-0000-0E00-000005000000}" name="source" dataDxfId="39">
      <calculatedColumnFormula>LEFT($C$2,LEN($C$2)-1)&amp;Tabell427[[#This Row],[network-id]]</calculatedColumnFormula>
    </tableColumn>
    <tableColumn id="6" xr3:uid="{00000000-0010-0000-0E00-000006000000}" name="destination" dataDxfId="38"/>
    <tableColumn id="7" xr3:uid="{00000000-0010-0000-0E00-000007000000}" name="gre mode" dataDxfId="37"/>
    <tableColumn id="8" xr3:uid="{00000000-0010-0000-0E00-000008000000}" name="network-id" dataDxfId="36"/>
    <tableColumn id="9" xr3:uid="{00000000-0010-0000-0E00-000009000000}" name="ipsec" dataDxfId="35"/>
    <tableColumn id="10" xr3:uid="{00000000-0010-0000-0E00-00000A000000}" name="ipsec key" dataDxfId="34"/>
  </tableColumns>
  <tableStyleInfo name="TableStyleLight12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0F000000}" name="Tabell1319253028" displayName="Tabell1319253028" ref="A21:H22" dataDxfId="33">
  <tableColumns count="8">
    <tableColumn id="1" xr3:uid="{00000000-0010-0000-0F00-000001000000}" name="site" dataDxfId="32">
      <calculatedColumnFormula>A2</calculatedColumnFormula>
    </tableColumn>
    <tableColumn id="4" xr3:uid="{00000000-0010-0000-0F00-000004000000}" name="brukernavn" dataDxfId="31"/>
    <tableColumn id="5" xr3:uid="{00000000-0010-0000-0F00-000005000000}" name="passord" dataDxfId="30"/>
    <tableColumn id="3" xr3:uid="{00000000-0010-0000-0F00-000003000000}" name="vty_lines" dataDxfId="29"/>
    <tableColumn id="2" xr3:uid="{00000000-0010-0000-0F00-000002000000}" name="secret" dataDxfId="28"/>
    <tableColumn id="6" xr3:uid="{00000000-0010-0000-0F00-000006000000}" name="etherchan_num" dataDxfId="27"/>
    <tableColumn id="7" xr3:uid="{00000000-0010-0000-0F00-000007000000}" name="span_mode" dataDxfId="26"/>
    <tableColumn id="8" xr3:uid="{A698096C-D7FF-4B3E-B34C-08044A136962}" name="erspan_destination" dataDxfId="0"/>
  </tableColumns>
  <tableStyleInfo name="TableStyleLight12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0000000}" name="Tabell231" displayName="Tabell231" ref="A4:K8" dataDxfId="25">
  <tableColumns count="11">
    <tableColumn id="1" xr3:uid="{00000000-0010-0000-1000-000001000000}" name="vrf" dataDxfId="24"/>
    <tableColumn id="2" xr3:uid="{00000000-0010-0000-1000-000002000000}" name="vlan" dataDxfId="23"/>
    <tableColumn id="3" xr3:uid="{00000000-0010-0000-1000-000003000000}" name="interface" dataDxfId="22"/>
    <tableColumn id="4" xr3:uid="{00000000-0010-0000-1000-000004000000}" name="nett id" dataDxfId="21"/>
    <tableColumn id="5" xr3:uid="{00000000-0010-0000-1000-000005000000}" name="gateway" dataDxfId="20">
      <calculatedColumnFormula>LEFT(D5,LEN(D5)-1)&amp;"1"</calculatedColumnFormula>
    </tableColumn>
    <tableColumn id="6" xr3:uid="{00000000-0010-0000-1000-000006000000}" name="mask" dataDxfId="19"/>
    <tableColumn id="7" xr3:uid="{00000000-0010-0000-1000-000007000000}" name="address min" dataDxfId="18">
      <calculatedColumnFormula>LEFT(D5,LEN(D5)-1)&amp;"1"</calculatedColumnFormula>
    </tableColumn>
    <tableColumn id="8" xr3:uid="{00000000-0010-0000-1000-000008000000}" name="address max" dataDxfId="17">
      <calculatedColumnFormula>LEFT(D5,FIND(".",D5,FIND(".",D5)+1)-1)&amp;".255.254"</calculatedColumnFormula>
    </tableColumn>
    <tableColumn id="9" xr3:uid="{00000000-0010-0000-1000-000009000000}" name="antall-res" dataDxfId="16"/>
    <tableColumn id="10" xr3:uid="{00000000-0010-0000-1000-00000A000000}" name="pri-afxx" dataDxfId="15"/>
    <tableColumn id="11" xr3:uid="{00000000-0010-0000-1000-00000B000000}" name="pri-1-10" dataDxfId="14"/>
  </tableColumns>
  <tableStyleInfo name="TableStyleLight12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1000000}" name="Tabell16182428253233" displayName="Tabell16182428253233" ref="A24:L25" totalsRowShown="0">
  <tableColumns count="12">
    <tableColumn id="1" xr3:uid="{00000000-0010-0000-1100-000001000000}" name="SW" dataDxfId="13">
      <calculatedColumnFormula>(ROW())-(ROW()-1)</calculatedColumnFormula>
    </tableColumn>
    <tableColumn id="2" xr3:uid="{00000000-0010-0000-1100-000002000000}" name="MGMT Vlan" dataDxfId="12"/>
    <tableColumn id="3" xr3:uid="{00000000-0010-0000-1100-000003000000}" name="MGMT ip" dataDxfId="11">
      <calculatedColumnFormula>LEFT($G$5,LEN($G$5)-1)&amp;(RIGHT($G$5,1)+A25)</calculatedColumnFormula>
    </tableColumn>
    <tableColumn id="4" xr3:uid="{00000000-0010-0000-1100-000004000000}" name="gateway" dataDxfId="10">
      <calculatedColumnFormula>$E$5</calculatedColumnFormula>
    </tableColumn>
    <tableColumn id="5" xr3:uid="{00000000-0010-0000-1100-000005000000}" name="mask" dataDxfId="9">
      <calculatedColumnFormula>$F$5</calculatedColumnFormula>
    </tableColumn>
    <tableColumn id="10" xr3:uid="{00000000-0010-0000-1100-00000A000000}" name="num_ports_tot" dataDxfId="8"/>
    <tableColumn id="11" xr3:uid="{00000000-0010-0000-1100-00000B000000}" name="skiped_ports" dataDxfId="7"/>
    <tableColumn id="6" xr3:uid="{00000000-0010-0000-1100-000006000000}" name="num_downlink" dataDxfId="6"/>
    <tableColumn id="7" xr3:uid="{00000000-0010-0000-1100-000007000000}" name="vlan-antall" dataDxfId="5"/>
    <tableColumn id="8" xr3:uid="{00000000-0010-0000-1100-000008000000}" name="intf_prefix" dataDxfId="4"/>
    <tableColumn id="9" xr3:uid="{00000000-0010-0000-1100-000009000000}" name="num_port_ledig" dataDxfId="3">
      <calculatedColumnFormula>IF($A25=1,F25-G25-H25*$F$22-2-IF(OR($G$22="ERSPAN",$G$22="SPAN",$G$22="RSPAN"),1,0),F25-G25-(1+H25)*$F$22-1)</calculatedColumnFormula>
    </tableColumn>
    <tableColumn id="12" xr3:uid="{7A61AD62-DA70-4723-89CE-42A22AC6CD4F}" name="MONITORING ip"/>
  </tableColumns>
  <tableStyleInfo name="TableStyleLight1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topLeftCell="E1" workbookViewId="0">
      <selection activeCell="H40" sqref="H40"/>
    </sheetView>
  </sheetViews>
  <sheetFormatPr defaultColWidth="12.5703125" defaultRowHeight="12.75" x14ac:dyDescent="0.2"/>
  <cols>
    <col min="1" max="1" width="10.7109375" customWidth="1"/>
    <col min="2" max="2" width="13" customWidth="1"/>
    <col min="3" max="3" width="66" customWidth="1"/>
    <col min="4" max="4" width="12.28515625" customWidth="1"/>
    <col min="5" max="5" width="66" customWidth="1"/>
    <col min="6" max="6" width="15.85546875" customWidth="1"/>
    <col min="7" max="7" width="66" customWidth="1"/>
    <col min="8" max="8" width="22" customWidth="1"/>
    <col min="9" max="9" width="25.5703125" customWidth="1"/>
    <col min="10" max="10" width="12.7109375" customWidth="1"/>
    <col min="11" max="11" width="39.28515625" customWidth="1"/>
    <col min="12" max="12" width="18" customWidth="1"/>
  </cols>
  <sheetData>
    <row r="1" spans="1:11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ht="15.75" customHeight="1" x14ac:dyDescent="0.2">
      <c r="A2" s="2">
        <v>1</v>
      </c>
      <c r="B2" s="2" t="s">
        <v>10</v>
      </c>
      <c r="C2" s="2" t="str">
        <f>A2&amp;"."&amp;A2&amp;"."&amp;A2&amp;".0"</f>
        <v>1.1.1.0</v>
      </c>
      <c r="D2" s="2" t="s">
        <v>11</v>
      </c>
      <c r="E2" s="2" t="s">
        <v>12</v>
      </c>
      <c r="F2" s="2" t="s">
        <v>13</v>
      </c>
      <c r="G2" s="2" t="s">
        <v>12</v>
      </c>
      <c r="H2" s="2" t="s">
        <v>14</v>
      </c>
      <c r="I2" s="2" t="b">
        <v>1</v>
      </c>
      <c r="J2" s="13" t="s">
        <v>15</v>
      </c>
    </row>
    <row r="3" spans="1:11" ht="15.75" customHeight="1" x14ac:dyDescent="0.25">
      <c r="A3" s="4"/>
      <c r="B3" s="5"/>
      <c r="C3" s="4"/>
      <c r="D3" s="4"/>
      <c r="E3" s="4"/>
      <c r="F3" s="4"/>
      <c r="G3" s="4"/>
      <c r="H3" s="4"/>
    </row>
    <row r="4" spans="1:11" ht="15.75" customHeight="1" x14ac:dyDescent="0.2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7" t="s">
        <v>25</v>
      </c>
      <c r="K4" s="7" t="s">
        <v>26</v>
      </c>
    </row>
    <row r="5" spans="1:11" ht="15.75" customHeight="1" x14ac:dyDescent="0.2">
      <c r="A5" s="8" t="s">
        <v>27</v>
      </c>
      <c r="B5" s="9">
        <v>10</v>
      </c>
      <c r="C5" s="8">
        <v>0</v>
      </c>
      <c r="D5" s="8" t="str">
        <f>10&amp;"."&amp;(B5+A2)&amp;"."&amp;0&amp;"."&amp;0</f>
        <v>10.11.0.0</v>
      </c>
      <c r="E5" s="8" t="str">
        <f t="shared" ref="E5:E7" si="0">LEFT(D5,LEN(D5)-1)&amp;"1"</f>
        <v>10.11.0.1</v>
      </c>
      <c r="F5" s="8" t="s">
        <v>28</v>
      </c>
      <c r="G5" s="8" t="str">
        <f t="shared" ref="G5:G7" si="1">LEFT(D5,LEN(D5)-1)&amp;"1"</f>
        <v>10.11.0.1</v>
      </c>
      <c r="H5" s="8" t="str">
        <f>LEFT(D5,FIND(".",D5,FIND(".",D5)+1)-1)&amp;".255.254"</f>
        <v>10.11.255.254</v>
      </c>
      <c r="I5" s="8">
        <v>10</v>
      </c>
      <c r="J5" s="10">
        <v>21</v>
      </c>
      <c r="K5" s="10">
        <v>5</v>
      </c>
    </row>
    <row r="6" spans="1:11" ht="15.75" customHeight="1" x14ac:dyDescent="0.2">
      <c r="A6" s="8" t="s">
        <v>29</v>
      </c>
      <c r="B6" s="9">
        <v>20</v>
      </c>
      <c r="C6" s="8">
        <v>0</v>
      </c>
      <c r="D6" s="8" t="str">
        <f>10&amp;"."&amp;(B6+A2)&amp;"."&amp;0&amp;"."&amp;0</f>
        <v>10.21.0.0</v>
      </c>
      <c r="E6" s="8" t="str">
        <f t="shared" si="0"/>
        <v>10.21.0.1</v>
      </c>
      <c r="F6" s="8" t="s">
        <v>28</v>
      </c>
      <c r="G6" s="8" t="str">
        <f t="shared" si="1"/>
        <v>10.21.0.1</v>
      </c>
      <c r="H6" s="8" t="str">
        <f>LEFT(D6,FIND(".",D6,FIND(".",D6)+1)-1)&amp;".255.254"</f>
        <v>10.21.255.254</v>
      </c>
      <c r="I6" s="8">
        <v>10</v>
      </c>
      <c r="J6" s="10">
        <v>11</v>
      </c>
      <c r="K6" s="10">
        <v>2</v>
      </c>
    </row>
    <row r="7" spans="1:11" ht="15.75" customHeight="1" x14ac:dyDescent="0.2">
      <c r="A7" s="8" t="s">
        <v>30</v>
      </c>
      <c r="B7" s="9">
        <v>30</v>
      </c>
      <c r="C7" s="8">
        <v>0</v>
      </c>
      <c r="D7" s="8" t="str">
        <f>10&amp;"."&amp;(B7+A2)&amp;"."&amp;0&amp;"."&amp;0</f>
        <v>10.31.0.0</v>
      </c>
      <c r="E7" s="8" t="str">
        <f t="shared" si="0"/>
        <v>10.31.0.1</v>
      </c>
      <c r="F7" s="8" t="s">
        <v>28</v>
      </c>
      <c r="G7" s="8" t="str">
        <f t="shared" si="1"/>
        <v>10.31.0.1</v>
      </c>
      <c r="H7" s="8" t="str">
        <f>LEFT(D7,FIND(".",D7,FIND(".",D7)+1)-1)&amp;".255.254"</f>
        <v>10.31.255.254</v>
      </c>
      <c r="I7" s="8">
        <v>10</v>
      </c>
      <c r="J7">
        <v>42</v>
      </c>
      <c r="K7">
        <v>7</v>
      </c>
    </row>
    <row r="8" spans="1:11" ht="15.75" customHeight="1" x14ac:dyDescent="0.2">
      <c r="A8" s="8" t="s">
        <v>31</v>
      </c>
      <c r="B8" s="9">
        <v>40</v>
      </c>
      <c r="C8" s="8">
        <v>0</v>
      </c>
      <c r="D8" s="8" t="str">
        <f>10&amp;"."&amp;(B8+A2)&amp;"."&amp;0&amp;"."&amp;0</f>
        <v>10.41.0.0</v>
      </c>
      <c r="E8" s="8" t="str">
        <f t="shared" ref="E8" si="2">LEFT(D8,LEN(D8)-1)&amp;"1"</f>
        <v>10.41.0.1</v>
      </c>
      <c r="F8" s="8" t="s">
        <v>28</v>
      </c>
      <c r="G8" s="8" t="str">
        <f t="shared" ref="G8" si="3">LEFT(D8,LEN(D8)-1)&amp;"1"</f>
        <v>10.41.0.1</v>
      </c>
      <c r="H8" s="8" t="str">
        <f>LEFT(D8,FIND(".",D8,FIND(".",D8)+1)-1)&amp;".255.254"</f>
        <v>10.41.255.254</v>
      </c>
      <c r="I8" s="8">
        <v>10</v>
      </c>
      <c r="J8">
        <v>41</v>
      </c>
      <c r="K8">
        <v>10</v>
      </c>
    </row>
    <row r="9" spans="1:11" ht="15.75" customHeight="1" x14ac:dyDescent="0.2">
      <c r="A9" s="3"/>
      <c r="B9" s="3"/>
    </row>
    <row r="10" spans="1:11" ht="15.75" customHeight="1" x14ac:dyDescent="0.2">
      <c r="A10" s="6" t="s">
        <v>16</v>
      </c>
      <c r="B10" s="6" t="s">
        <v>32</v>
      </c>
      <c r="C10" s="6" t="s">
        <v>33</v>
      </c>
      <c r="D10" s="6" t="s">
        <v>34</v>
      </c>
    </row>
    <row r="11" spans="1:11" ht="15.75" customHeight="1" x14ac:dyDescent="0.2">
      <c r="A11" s="8" t="s">
        <v>27</v>
      </c>
      <c r="B11" s="18" t="s">
        <v>35</v>
      </c>
      <c r="C11" s="8">
        <v>10</v>
      </c>
      <c r="D11" s="8" t="str">
        <f>$A$2&amp;"."&amp;$A$2&amp;"."&amp;$A$2&amp;"."&amp;(C11)</f>
        <v>1.1.1.10</v>
      </c>
    </row>
    <row r="12" spans="1:11" ht="15.75" customHeight="1" x14ac:dyDescent="0.2">
      <c r="A12" s="8" t="s">
        <v>29</v>
      </c>
      <c r="B12" s="18" t="s">
        <v>36</v>
      </c>
      <c r="C12" s="8">
        <v>20</v>
      </c>
      <c r="D12" s="8" t="str">
        <f t="shared" ref="D12:D14" si="4">$A$2&amp;"."&amp;$A$2&amp;"."&amp;$A$2&amp;"."&amp;(C12)</f>
        <v>1.1.1.20</v>
      </c>
    </row>
    <row r="13" spans="1:11" ht="15.75" customHeight="1" x14ac:dyDescent="0.2">
      <c r="A13" s="8" t="s">
        <v>30</v>
      </c>
      <c r="B13" s="18" t="s">
        <v>37</v>
      </c>
      <c r="C13" s="8">
        <v>30</v>
      </c>
      <c r="D13" s="8" t="str">
        <f t="shared" si="4"/>
        <v>1.1.1.30</v>
      </c>
    </row>
    <row r="14" spans="1:11" ht="15.75" customHeight="1" x14ac:dyDescent="0.2">
      <c r="A14" s="8" t="s">
        <v>31</v>
      </c>
      <c r="B14" s="18" t="s">
        <v>38</v>
      </c>
      <c r="C14" s="8">
        <v>40</v>
      </c>
      <c r="D14" s="8" t="str">
        <f t="shared" si="4"/>
        <v>1.1.1.40</v>
      </c>
    </row>
    <row r="15" spans="1:11" ht="15.75" customHeight="1" x14ac:dyDescent="0.2"/>
    <row r="16" spans="1:11" ht="15.75" customHeight="1" x14ac:dyDescent="0.2">
      <c r="A16" s="6" t="s">
        <v>39</v>
      </c>
      <c r="B16" s="6" t="s">
        <v>16</v>
      </c>
      <c r="C16" s="6" t="s">
        <v>40</v>
      </c>
      <c r="D16" s="6" t="s">
        <v>21</v>
      </c>
      <c r="E16" s="6" t="s">
        <v>41</v>
      </c>
      <c r="F16" s="6" t="s">
        <v>42</v>
      </c>
      <c r="G16" s="6" t="s">
        <v>43</v>
      </c>
      <c r="H16" s="1" t="s">
        <v>44</v>
      </c>
      <c r="I16" s="1" t="s">
        <v>45</v>
      </c>
      <c r="J16" s="1" t="s">
        <v>46</v>
      </c>
    </row>
    <row r="17" spans="1:12" ht="15.75" customHeight="1" x14ac:dyDescent="0.2">
      <c r="A17" s="8" t="s">
        <v>47</v>
      </c>
      <c r="B17" s="8" t="s">
        <v>27</v>
      </c>
      <c r="C17" s="8" t="str">
        <f>172&amp;"."&amp;16&amp;"."&amp;0&amp;"."&amp;(H17+$A$2)</f>
        <v>172.16.0.11</v>
      </c>
      <c r="D17" s="8" t="s">
        <v>48</v>
      </c>
      <c r="E17" s="14"/>
      <c r="F17" s="8"/>
      <c r="G17" s="8" t="s">
        <v>49</v>
      </c>
      <c r="H17" s="2">
        <v>10</v>
      </c>
      <c r="I17" s="2"/>
      <c r="J17" s="2"/>
    </row>
    <row r="18" spans="1:12" ht="15.75" customHeight="1" x14ac:dyDescent="0.2">
      <c r="A18" s="8" t="s">
        <v>50</v>
      </c>
      <c r="B18" s="8" t="s">
        <v>30</v>
      </c>
      <c r="C18" s="8" t="str">
        <f t="shared" ref="C18" si="5">172&amp;"."&amp;16&amp;"."&amp;0&amp;"."&amp;(H18+$A$2)</f>
        <v>172.16.0.31</v>
      </c>
      <c r="D18" s="8" t="s">
        <v>48</v>
      </c>
      <c r="E18" s="14"/>
      <c r="F18" s="8"/>
      <c r="G18" s="8" t="s">
        <v>49</v>
      </c>
      <c r="H18" s="2">
        <v>30</v>
      </c>
      <c r="I18" s="2" t="b">
        <v>1</v>
      </c>
      <c r="J18" s="2"/>
    </row>
    <row r="19" spans="1:12" ht="15.75" customHeight="1" x14ac:dyDescent="0.2">
      <c r="A19" s="8" t="s">
        <v>51</v>
      </c>
      <c r="B19" s="8" t="s">
        <v>31</v>
      </c>
      <c r="C19" s="8" t="str">
        <f t="shared" ref="C19" si="6">172&amp;"."&amp;16&amp;"."&amp;0&amp;"."&amp;(H19+$A$2)</f>
        <v>172.16.0.41</v>
      </c>
      <c r="D19" s="8" t="s">
        <v>48</v>
      </c>
      <c r="E19" s="14"/>
      <c r="F19" s="8"/>
      <c r="G19" s="8" t="s">
        <v>49</v>
      </c>
      <c r="H19" s="2">
        <v>40</v>
      </c>
      <c r="I19" s="2" t="b">
        <v>1</v>
      </c>
      <c r="J19" s="2"/>
    </row>
    <row r="20" spans="1:12" ht="15.75" customHeight="1" x14ac:dyDescent="0.2">
      <c r="A20" s="12"/>
      <c r="B20" s="12"/>
      <c r="C20" s="12"/>
      <c r="D20" s="12"/>
      <c r="E20" s="12"/>
      <c r="F20" s="12"/>
      <c r="G20" s="12"/>
    </row>
    <row r="21" spans="1:12" ht="15.75" customHeight="1" x14ac:dyDescent="0.2">
      <c r="A21" s="1" t="s">
        <v>0</v>
      </c>
      <c r="B21" s="1" t="s">
        <v>3</v>
      </c>
      <c r="C21" s="1" t="s">
        <v>4</v>
      </c>
      <c r="D21" s="1" t="s">
        <v>5</v>
      </c>
      <c r="E21" s="1" t="s">
        <v>6</v>
      </c>
      <c r="F21" s="1" t="s">
        <v>52</v>
      </c>
      <c r="G21" s="1" t="s">
        <v>53</v>
      </c>
      <c r="H21" t="s">
        <v>63</v>
      </c>
    </row>
    <row r="22" spans="1:12" ht="28.7" customHeight="1" x14ac:dyDescent="0.2">
      <c r="A22" s="2">
        <f>A2</f>
        <v>1</v>
      </c>
      <c r="B22" s="2" t="s">
        <v>11</v>
      </c>
      <c r="C22" s="2" t="s">
        <v>12</v>
      </c>
      <c r="D22" s="2" t="s">
        <v>13</v>
      </c>
      <c r="E22" s="2" t="s">
        <v>12</v>
      </c>
      <c r="F22" s="2">
        <v>2</v>
      </c>
      <c r="G22" s="2" t="s">
        <v>65</v>
      </c>
      <c r="H22" s="19"/>
    </row>
    <row r="23" spans="1:12" ht="15.75" customHeight="1" x14ac:dyDescent="0.2"/>
    <row r="24" spans="1:12" ht="39" customHeight="1" x14ac:dyDescent="0.2">
      <c r="A24" s="15" t="s">
        <v>54</v>
      </c>
      <c r="B24" s="15" t="s">
        <v>55</v>
      </c>
      <c r="C24" s="15" t="s">
        <v>56</v>
      </c>
      <c r="D24" s="15" t="s">
        <v>20</v>
      </c>
      <c r="E24" s="15" t="s">
        <v>21</v>
      </c>
      <c r="F24" s="15" t="s">
        <v>57</v>
      </c>
      <c r="G24" s="15" t="s">
        <v>58</v>
      </c>
      <c r="H24" s="15" t="s">
        <v>59</v>
      </c>
      <c r="I24" s="15" t="s">
        <v>60</v>
      </c>
      <c r="J24" s="15" t="s">
        <v>1</v>
      </c>
      <c r="K24" s="15" t="s">
        <v>61</v>
      </c>
      <c r="L24" t="s">
        <v>64</v>
      </c>
    </row>
    <row r="25" spans="1:12" ht="45" customHeight="1" x14ac:dyDescent="0.2">
      <c r="A25" s="8">
        <f>(ROW())-(ROW()-1)</f>
        <v>1</v>
      </c>
      <c r="B25" s="8">
        <v>10</v>
      </c>
      <c r="C25" s="8" t="str">
        <f>LEFT($G$5,LEN($G$5)-1)&amp;(RIGHT($G$5,1)+A25)</f>
        <v>10.11.0.2</v>
      </c>
      <c r="D25" s="8" t="str">
        <f>$E$5</f>
        <v>10.11.0.1</v>
      </c>
      <c r="E25" s="8" t="str">
        <f>$F$5</f>
        <v>255.255.0.0</v>
      </c>
      <c r="F25" s="8">
        <v>24</v>
      </c>
      <c r="G25" s="8">
        <v>1</v>
      </c>
      <c r="H25" s="11">
        <v>3</v>
      </c>
      <c r="I25" s="8" t="s">
        <v>62</v>
      </c>
      <c r="J25" s="2" t="s">
        <v>10</v>
      </c>
      <c r="K25" s="2">
        <f>IF($A25=1,F25-G25-H25*$F$22-2-IF(OR(UPPER($G$22)="SPAN", UPPER($G$22)="ERSPAN",UPPER($G$22)="RSPAN"),1,0),F25-G25-(1+H25)*$F$22-1)</f>
        <v>14</v>
      </c>
    </row>
    <row r="26" spans="1:12" ht="15.75" customHeight="1" x14ac:dyDescent="0.2">
      <c r="A26" s="17">
        <v>2</v>
      </c>
      <c r="B26" s="17">
        <v>10</v>
      </c>
      <c r="C26" s="17" t="str">
        <f>LEFT($G$5,LEN($G$5)-1)&amp;(RIGHT($G$5,1)+A26)</f>
        <v>10.11.0.3</v>
      </c>
      <c r="D26" s="17" t="str">
        <f>$E$5</f>
        <v>10.11.0.1</v>
      </c>
      <c r="E26" s="17" t="str">
        <f>$F$5</f>
        <v>255.255.0.0</v>
      </c>
      <c r="F26" s="17">
        <v>24</v>
      </c>
      <c r="G26" s="17">
        <v>1</v>
      </c>
      <c r="H26" s="17">
        <v>0</v>
      </c>
      <c r="I26" s="16" t="s">
        <v>62</v>
      </c>
      <c r="J26" s="13" t="s">
        <v>10</v>
      </c>
      <c r="K26" s="2">
        <f>IF($A26=1,F26-G26-H26*$F$22-2-IF(OR(UPPER($G$22)="SPAN", UPPER($G$22)="ERSPAN",UPPER($G$22)="RSPAN"),1,0),F26-G26-(1+H26)*$F$22-1)</f>
        <v>20</v>
      </c>
    </row>
    <row r="27" spans="1:12" ht="15.75" customHeight="1" x14ac:dyDescent="0.2"/>
    <row r="28" spans="1:12" ht="15.75" customHeight="1" x14ac:dyDescent="0.2"/>
    <row r="29" spans="1:12" ht="15.75" customHeight="1" x14ac:dyDescent="0.2"/>
    <row r="30" spans="1:12" ht="15.75" customHeight="1" x14ac:dyDescent="0.2"/>
    <row r="31" spans="1:12" ht="15.75" customHeight="1" x14ac:dyDescent="0.2"/>
    <row r="32" spans="1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dataValidations count="2">
    <dataValidation type="custom" allowBlank="1" showInputMessage="1" showErrorMessage="1" sqref="I25:I26" xr:uid="{00000000-0002-0000-0000-000000000000}">
      <formula1>IF(I25="",TRUE,SUM(--_xlfn.TEXTAFTER(_xlfn.TEXTSPLIT(I25,"-"),"."))&lt;=K25)</formula1>
    </dataValidation>
    <dataValidation type="list" sqref="G22" xr:uid="{00000000-0002-0000-0000-000001000000}">
      <formula1>"SPAN,RSPAN,ERSPAN"</formula1>
    </dataValidation>
  </dataValidation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94"/>
  <sheetViews>
    <sheetView topLeftCell="E3" workbookViewId="0">
      <selection activeCell="G21" sqref="G21"/>
    </sheetView>
  </sheetViews>
  <sheetFormatPr defaultColWidth="12.5703125" defaultRowHeight="14.25" x14ac:dyDescent="0.2"/>
  <cols>
    <col min="1" max="1" width="10.7109375" style="14" customWidth="1"/>
    <col min="2" max="2" width="13" style="14" customWidth="1"/>
    <col min="3" max="3" width="75.85546875" style="14" customWidth="1"/>
    <col min="4" max="4" width="12.28515625" style="14" customWidth="1"/>
    <col min="5" max="5" width="75.85546875" style="14" customWidth="1"/>
    <col min="6" max="6" width="16.85546875" style="14" customWidth="1"/>
    <col min="7" max="7" width="75.85546875" style="14" customWidth="1"/>
    <col min="8" max="8" width="22" style="14" customWidth="1"/>
    <col min="9" max="9" width="25.5703125" style="14" customWidth="1"/>
    <col min="10" max="10" width="11.28515625" style="14" customWidth="1"/>
    <col min="11" max="11" width="16.85546875" style="14" customWidth="1"/>
    <col min="12" max="12" width="18" customWidth="1"/>
    <col min="13" max="16384" width="12.5703125" style="14"/>
  </cols>
  <sheetData>
    <row r="1" spans="1:11" ht="15.75" customHeight="1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9</v>
      </c>
    </row>
    <row r="2" spans="1:11" ht="15.75" customHeight="1" x14ac:dyDescent="0.2">
      <c r="A2" s="14">
        <v>2</v>
      </c>
      <c r="B2" s="14" t="s">
        <v>10</v>
      </c>
      <c r="C2" s="14" t="str">
        <f>A2&amp;"."&amp;A2&amp;"."&amp;A2&amp;".0"</f>
        <v>2.2.2.0</v>
      </c>
      <c r="D2" s="14" t="s">
        <v>11</v>
      </c>
      <c r="E2" s="14" t="s">
        <v>12</v>
      </c>
      <c r="F2" s="14" t="s">
        <v>13</v>
      </c>
      <c r="G2" s="14" t="s">
        <v>12</v>
      </c>
      <c r="H2" s="14" t="str">
        <f>'Site 1 (HUB)'!H2</f>
        <v>TACACS-KEY</v>
      </c>
      <c r="I2" s="14" t="s">
        <v>15</v>
      </c>
    </row>
    <row r="3" spans="1:11" ht="15.75" customHeight="1" x14ac:dyDescent="0.2"/>
    <row r="4" spans="1:11" ht="31.5" customHeight="1" x14ac:dyDescent="0.2">
      <c r="A4" s="14" t="s">
        <v>16</v>
      </c>
      <c r="B4" s="14" t="s">
        <v>17</v>
      </c>
      <c r="C4" s="14" t="s">
        <v>18</v>
      </c>
      <c r="D4" s="14" t="s">
        <v>19</v>
      </c>
      <c r="E4" s="14" t="s">
        <v>20</v>
      </c>
      <c r="F4" s="14" t="s">
        <v>21</v>
      </c>
      <c r="G4" s="14" t="s">
        <v>22</v>
      </c>
      <c r="H4" s="14" t="s">
        <v>23</v>
      </c>
      <c r="I4" s="14" t="s">
        <v>24</v>
      </c>
      <c r="J4" s="14" t="s">
        <v>25</v>
      </c>
      <c r="K4" s="14" t="s">
        <v>26</v>
      </c>
    </row>
    <row r="5" spans="1:11" ht="15.75" customHeight="1" x14ac:dyDescent="0.2">
      <c r="A5" s="14" t="s">
        <v>27</v>
      </c>
      <c r="B5" s="14">
        <v>10</v>
      </c>
      <c r="C5" s="14">
        <v>0</v>
      </c>
      <c r="D5" s="14" t="str">
        <f>10&amp;"."&amp;(B5+A2)&amp;"."&amp;0&amp;"."&amp;0</f>
        <v>10.12.0.0</v>
      </c>
      <c r="E5" s="14" t="str">
        <f t="shared" ref="E5:E8" si="0">LEFT(D5,LEN(D5)-1)&amp;"1"</f>
        <v>10.12.0.1</v>
      </c>
      <c r="F5" s="14" t="s">
        <v>28</v>
      </c>
      <c r="G5" s="14" t="str">
        <f t="shared" ref="G5:G8" si="1">LEFT(D5,LEN(D5)-1)&amp;"1"</f>
        <v>10.12.0.1</v>
      </c>
      <c r="H5" s="14" t="str">
        <f>LEFT(D5,FIND(".",D5,FIND(".",D5)+1)-1)&amp;".255.254"</f>
        <v>10.12.255.254</v>
      </c>
      <c r="I5" s="14">
        <v>10</v>
      </c>
      <c r="J5" s="14">
        <v>21</v>
      </c>
      <c r="K5" s="14">
        <v>5</v>
      </c>
    </row>
    <row r="6" spans="1:11" ht="15.75" customHeight="1" x14ac:dyDescent="0.2">
      <c r="A6" s="14" t="s">
        <v>29</v>
      </c>
      <c r="B6" s="14">
        <v>20</v>
      </c>
      <c r="C6" s="14">
        <v>0</v>
      </c>
      <c r="D6" s="14" t="str">
        <f>10&amp;"."&amp;(B6+A2)&amp;"."&amp;0&amp;"."&amp;0</f>
        <v>10.22.0.0</v>
      </c>
      <c r="E6" s="14" t="str">
        <f t="shared" si="0"/>
        <v>10.22.0.1</v>
      </c>
      <c r="F6" s="14" t="s">
        <v>28</v>
      </c>
      <c r="G6" s="14" t="str">
        <f t="shared" si="1"/>
        <v>10.22.0.1</v>
      </c>
      <c r="H6" s="14" t="str">
        <f>LEFT(D6,FIND(".",D6,FIND(".",D6)+1)-1)&amp;".255.254"</f>
        <v>10.22.255.254</v>
      </c>
      <c r="I6" s="14">
        <v>10</v>
      </c>
      <c r="J6" s="14">
        <v>11</v>
      </c>
      <c r="K6" s="14">
        <v>2</v>
      </c>
    </row>
    <row r="7" spans="1:11" ht="15.75" customHeight="1" x14ac:dyDescent="0.2">
      <c r="A7" s="14" t="s">
        <v>30</v>
      </c>
      <c r="B7" s="14">
        <v>30</v>
      </c>
      <c r="C7" s="14">
        <v>0</v>
      </c>
      <c r="D7" s="14" t="str">
        <f>10&amp;"."&amp;(B7+A2)&amp;"."&amp;0&amp;"."&amp;0</f>
        <v>10.32.0.0</v>
      </c>
      <c r="E7" s="14" t="str">
        <f t="shared" si="0"/>
        <v>10.32.0.1</v>
      </c>
      <c r="F7" s="14" t="s">
        <v>28</v>
      </c>
      <c r="G7" s="14" t="str">
        <f t="shared" si="1"/>
        <v>10.32.0.1</v>
      </c>
      <c r="H7" s="14" t="str">
        <f>LEFT(D7,FIND(".",D7,FIND(".",D7)+1)-1)&amp;".255.254"</f>
        <v>10.32.255.254</v>
      </c>
      <c r="I7" s="14">
        <v>10</v>
      </c>
      <c r="J7" s="14">
        <v>42</v>
      </c>
      <c r="K7" s="14">
        <v>7</v>
      </c>
    </row>
    <row r="8" spans="1:11" ht="15.75" customHeight="1" x14ac:dyDescent="0.2">
      <c r="A8" s="14" t="s">
        <v>31</v>
      </c>
      <c r="B8" s="14">
        <v>40</v>
      </c>
      <c r="C8" s="14">
        <v>0</v>
      </c>
      <c r="D8" s="14" t="str">
        <f>10&amp;"."&amp;(B8+A2)&amp;"."&amp;0&amp;"."&amp;0</f>
        <v>10.42.0.0</v>
      </c>
      <c r="E8" s="14" t="str">
        <f t="shared" si="0"/>
        <v>10.42.0.1</v>
      </c>
      <c r="F8" s="14" t="s">
        <v>28</v>
      </c>
      <c r="G8" s="14" t="str">
        <f t="shared" si="1"/>
        <v>10.42.0.1</v>
      </c>
      <c r="H8" s="14" t="str">
        <f>LEFT(D8,FIND(".",D8,FIND(".",D8)+1)-1)&amp;".255.254"</f>
        <v>10.42.255.254</v>
      </c>
      <c r="I8" s="14">
        <v>10</v>
      </c>
      <c r="J8" s="14">
        <v>41</v>
      </c>
      <c r="K8" s="14">
        <v>10</v>
      </c>
    </row>
    <row r="9" spans="1:11" ht="15.75" customHeight="1" x14ac:dyDescent="0.2"/>
    <row r="10" spans="1:11" ht="15.75" customHeight="1" x14ac:dyDescent="0.2">
      <c r="A10" s="14" t="s">
        <v>16</v>
      </c>
      <c r="B10" s="6" t="s">
        <v>32</v>
      </c>
      <c r="C10" s="14" t="s">
        <v>33</v>
      </c>
      <c r="D10" s="14" t="s">
        <v>34</v>
      </c>
    </row>
    <row r="11" spans="1:11" ht="15.75" customHeight="1" x14ac:dyDescent="0.2">
      <c r="A11" s="14" t="s">
        <v>27</v>
      </c>
      <c r="B11" s="18" t="s">
        <v>35</v>
      </c>
      <c r="C11" s="14">
        <v>10</v>
      </c>
      <c r="D11" s="14" t="str">
        <f>A2&amp;"."&amp;A2&amp;"."&amp;A2&amp;"."&amp;(C11)</f>
        <v>2.2.2.10</v>
      </c>
    </row>
    <row r="12" spans="1:11" ht="15.75" customHeight="1" x14ac:dyDescent="0.2">
      <c r="A12" s="14" t="s">
        <v>29</v>
      </c>
      <c r="B12" s="18" t="s">
        <v>36</v>
      </c>
      <c r="C12" s="14">
        <v>20</v>
      </c>
      <c r="D12" s="14" t="str">
        <f>A2&amp;"."&amp;A2&amp;"."&amp;A2&amp;"."&amp;(C12)</f>
        <v>2.2.2.20</v>
      </c>
    </row>
    <row r="13" spans="1:11" ht="15.75" customHeight="1" x14ac:dyDescent="0.2">
      <c r="A13" s="14" t="s">
        <v>30</v>
      </c>
      <c r="B13" s="18" t="s">
        <v>37</v>
      </c>
      <c r="C13" s="14">
        <v>30</v>
      </c>
      <c r="D13" s="14" t="str">
        <f>A2&amp;"."&amp;A2&amp;"."&amp;A2&amp;"."&amp;(C13)</f>
        <v>2.2.2.30</v>
      </c>
    </row>
    <row r="14" spans="1:11" ht="15.75" customHeight="1" x14ac:dyDescent="0.2">
      <c r="A14" s="14" t="s">
        <v>31</v>
      </c>
      <c r="B14" s="18" t="s">
        <v>38</v>
      </c>
      <c r="C14" s="14">
        <v>40</v>
      </c>
      <c r="D14" s="14" t="str">
        <f t="shared" ref="D14" si="2">$A$2&amp;"."&amp;$A$2&amp;"."&amp;$A$2&amp;"."&amp;(C14)</f>
        <v>2.2.2.40</v>
      </c>
    </row>
    <row r="15" spans="1:11" ht="15.75" customHeight="1" x14ac:dyDescent="0.2"/>
    <row r="16" spans="1:11" ht="15.75" customHeight="1" x14ac:dyDescent="0.2">
      <c r="A16" s="14" t="s">
        <v>39</v>
      </c>
      <c r="B16" s="14" t="s">
        <v>16</v>
      </c>
      <c r="C16" s="14" t="s">
        <v>40</v>
      </c>
      <c r="D16" s="14" t="s">
        <v>21</v>
      </c>
      <c r="E16" s="14" t="s">
        <v>41</v>
      </c>
      <c r="F16" s="14" t="s">
        <v>42</v>
      </c>
      <c r="G16" s="14" t="s">
        <v>43</v>
      </c>
      <c r="H16" s="14" t="s">
        <v>44</v>
      </c>
      <c r="I16" s="14" t="s">
        <v>45</v>
      </c>
      <c r="J16" s="14" t="s">
        <v>46</v>
      </c>
    </row>
    <row r="17" spans="1:12" ht="15.75" customHeight="1" x14ac:dyDescent="0.2">
      <c r="A17" s="14" t="s">
        <v>47</v>
      </c>
      <c r="B17" s="14" t="s">
        <v>27</v>
      </c>
      <c r="C17" s="14" t="str">
        <f>172&amp;"."&amp;16&amp;"."&amp;0&amp;"."&amp;(H17+$A$2)</f>
        <v>172.16.0.12</v>
      </c>
      <c r="D17" s="14" t="s">
        <v>48</v>
      </c>
      <c r="G17" s="14" t="s">
        <v>49</v>
      </c>
      <c r="H17" s="14">
        <v>10</v>
      </c>
      <c r="I17" s="14">
        <f t="array" ref="I17">'Site 1 (HUB)'!I17</f>
        <v>0</v>
      </c>
    </row>
    <row r="18" spans="1:12" ht="15.75" customHeight="1" x14ac:dyDescent="0.2">
      <c r="A18" s="14" t="s">
        <v>50</v>
      </c>
      <c r="B18" s="14" t="s">
        <v>30</v>
      </c>
      <c r="C18" s="14" t="str">
        <f>172&amp;"."&amp;16&amp;"."&amp;0&amp;"."&amp;(H18+$A$2)</f>
        <v>172.16.0.32</v>
      </c>
      <c r="D18" s="14" t="s">
        <v>48</v>
      </c>
      <c r="G18" s="14" t="s">
        <v>49</v>
      </c>
      <c r="H18" s="14">
        <v>30</v>
      </c>
      <c r="I18" s="14" t="b">
        <f t="array" ref="I18">'Site 1 (HUB)'!I18</f>
        <v>1</v>
      </c>
    </row>
    <row r="19" spans="1:12" ht="15.75" customHeight="1" x14ac:dyDescent="0.2">
      <c r="A19" s="14" t="s">
        <v>51</v>
      </c>
      <c r="B19" s="14" t="s">
        <v>31</v>
      </c>
      <c r="C19" s="14" t="str">
        <f t="shared" ref="C19" si="3">172&amp;"."&amp;16&amp;"."&amp;0&amp;"."&amp;(H19+$A$2)</f>
        <v>172.16.0.42</v>
      </c>
      <c r="D19" s="14" t="s">
        <v>48</v>
      </c>
      <c r="G19" s="14" t="s">
        <v>49</v>
      </c>
      <c r="H19" s="14">
        <v>40</v>
      </c>
      <c r="I19" s="14" t="b">
        <f>'Site 1 (HUB)'!I19</f>
        <v>1</v>
      </c>
    </row>
    <row r="20" spans="1:12" ht="15.75" customHeight="1" x14ac:dyDescent="0.2"/>
    <row r="21" spans="1:12" ht="16.5" customHeight="1" x14ac:dyDescent="0.2">
      <c r="A21" s="14" t="s">
        <v>0</v>
      </c>
      <c r="B21" s="14" t="s">
        <v>3</v>
      </c>
      <c r="C21" s="14" t="s">
        <v>4</v>
      </c>
      <c r="D21" s="14" t="s">
        <v>5</v>
      </c>
      <c r="E21" s="14" t="s">
        <v>6</v>
      </c>
      <c r="F21" s="14" t="s">
        <v>52</v>
      </c>
      <c r="G21" s="1" t="s">
        <v>53</v>
      </c>
      <c r="H21" t="s">
        <v>63</v>
      </c>
    </row>
    <row r="22" spans="1:12" ht="15.75" customHeight="1" x14ac:dyDescent="0.2">
      <c r="A22" s="14">
        <f>A2</f>
        <v>2</v>
      </c>
      <c r="B22" s="14" t="s">
        <v>11</v>
      </c>
      <c r="C22" s="14" t="s">
        <v>12</v>
      </c>
      <c r="D22" s="14" t="s">
        <v>13</v>
      </c>
      <c r="E22" s="14" t="s">
        <v>12</v>
      </c>
      <c r="F22" s="14">
        <v>2</v>
      </c>
      <c r="G22" s="2" t="s">
        <v>65</v>
      </c>
      <c r="H22" s="20"/>
    </row>
    <row r="23" spans="1:12" ht="15.75" customHeight="1" x14ac:dyDescent="0.2"/>
    <row r="24" spans="1:12" ht="15.75" customHeight="1" x14ac:dyDescent="0.2">
      <c r="A24" s="15" t="s">
        <v>54</v>
      </c>
      <c r="B24" s="15" t="s">
        <v>55</v>
      </c>
      <c r="C24" s="15" t="s">
        <v>56</v>
      </c>
      <c r="D24" s="15" t="s">
        <v>20</v>
      </c>
      <c r="E24" s="15" t="s">
        <v>21</v>
      </c>
      <c r="F24" s="15" t="s">
        <v>57</v>
      </c>
      <c r="G24" s="15" t="s">
        <v>58</v>
      </c>
      <c r="H24" s="15" t="s">
        <v>59</v>
      </c>
      <c r="I24" s="15" t="s">
        <v>60</v>
      </c>
      <c r="J24" s="15" t="s">
        <v>1</v>
      </c>
      <c r="K24" s="15" t="s">
        <v>61</v>
      </c>
      <c r="L24" t="s">
        <v>64</v>
      </c>
    </row>
    <row r="25" spans="1:12" ht="15.75" customHeight="1" x14ac:dyDescent="0.2">
      <c r="A25" s="8">
        <f>(ROW())-(ROW()-1)</f>
        <v>1</v>
      </c>
      <c r="B25" s="8">
        <v>10</v>
      </c>
      <c r="C25" s="8" t="str">
        <f>LEFT($G$5,LEN($G$5)-1)&amp;(RIGHT($G$5,1)+A25)</f>
        <v>10.12.0.2</v>
      </c>
      <c r="D25" s="8" t="str">
        <f>$E$5</f>
        <v>10.12.0.1</v>
      </c>
      <c r="E25" s="8" t="str">
        <f>$F$5</f>
        <v>255.255.0.0</v>
      </c>
      <c r="F25" s="8">
        <v>24</v>
      </c>
      <c r="G25" s="8">
        <v>1</v>
      </c>
      <c r="H25" s="11">
        <v>0</v>
      </c>
      <c r="I25" s="8" t="s">
        <v>62</v>
      </c>
      <c r="J25" s="2" t="s">
        <v>10</v>
      </c>
      <c r="K25" s="2">
        <f>IF($A25=1,F25-G25-H25*$F$22-2-IF(OR(UPPER($G$22)="SPAN",UPPER($G$22)="RSPAN"),1,0),F25-G25-(1+H25)*$F$22-1)</f>
        <v>20</v>
      </c>
    </row>
    <row r="26" spans="1:12" ht="15.75" customHeight="1" x14ac:dyDescent="0.2"/>
    <row r="27" spans="1:12" ht="15.75" customHeight="1" x14ac:dyDescent="0.2"/>
    <row r="28" spans="1:12" ht="15.75" customHeight="1" x14ac:dyDescent="0.2"/>
    <row r="29" spans="1:12" ht="15.75" customHeight="1" x14ac:dyDescent="0.2"/>
    <row r="30" spans="1:12" ht="15.75" customHeight="1" x14ac:dyDescent="0.2"/>
    <row r="31" spans="1:12" ht="15.75" customHeight="1" x14ac:dyDescent="0.2"/>
    <row r="32" spans="1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</sheetData>
  <dataValidations count="2">
    <dataValidation type="custom" allowBlank="1" showInputMessage="1" showErrorMessage="1" sqref="I25" xr:uid="{00000000-0002-0000-0100-000000000000}">
      <formula1>IF(I25="",TRUE,SUM(--_xlfn.TEXTAFTER(_xlfn.TEXTSPLIT(I25,"-"),"."))&lt;=K25)</formula1>
    </dataValidation>
    <dataValidation type="list" sqref="G22" xr:uid="{00000000-0002-0000-0100-000001000000}">
      <formula1>"SPAN,RSPAN,ERSPAN"</formula1>
    </dataValidation>
  </dataValidation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6"/>
  <sheetViews>
    <sheetView topLeftCell="C1" workbookViewId="0">
      <selection activeCell="O34" sqref="O34"/>
    </sheetView>
  </sheetViews>
  <sheetFormatPr defaultRowHeight="12.75" x14ac:dyDescent="0.2"/>
  <cols>
    <col min="1" max="1" width="10.7109375" customWidth="1"/>
    <col min="2" max="2" width="13" customWidth="1"/>
    <col min="3" max="3" width="75.85546875" customWidth="1"/>
    <col min="4" max="4" width="12.28515625" customWidth="1"/>
    <col min="5" max="5" width="75.85546875" customWidth="1"/>
    <col min="6" max="6" width="16.85546875" customWidth="1"/>
    <col min="7" max="7" width="58.7109375" customWidth="1"/>
    <col min="8" max="8" width="22" customWidth="1"/>
    <col min="9" max="9" width="25.5703125" customWidth="1"/>
    <col min="10" max="10" width="11.28515625" customWidth="1"/>
    <col min="11" max="11" width="16.85546875" customWidth="1"/>
    <col min="12" max="12" width="18" customWidth="1"/>
  </cols>
  <sheetData>
    <row r="1" spans="1:12" ht="14.25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9</v>
      </c>
      <c r="J1" s="14"/>
      <c r="K1" s="14"/>
    </row>
    <row r="2" spans="1:12" ht="14.25" x14ac:dyDescent="0.2">
      <c r="A2" s="14">
        <v>3</v>
      </c>
      <c r="B2" s="14" t="s">
        <v>10</v>
      </c>
      <c r="C2" s="14" t="str">
        <f>A2&amp;"."&amp;A2&amp;"."&amp;A2&amp;".0"</f>
        <v>3.3.3.0</v>
      </c>
      <c r="D2" s="14" t="s">
        <v>11</v>
      </c>
      <c r="E2" s="14" t="s">
        <v>12</v>
      </c>
      <c r="F2" s="14" t="s">
        <v>13</v>
      </c>
      <c r="G2" s="14" t="s">
        <v>12</v>
      </c>
      <c r="H2" s="14" t="str">
        <f>'Site 1 (HUB)'!H2</f>
        <v>TACACS-KEY</v>
      </c>
      <c r="I2" s="14" t="s">
        <v>15</v>
      </c>
      <c r="J2" s="14"/>
      <c r="K2" s="14"/>
    </row>
    <row r="3" spans="1:12" ht="14.25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2" ht="14.25" x14ac:dyDescent="0.2">
      <c r="A4" s="14" t="s">
        <v>16</v>
      </c>
      <c r="B4" s="14" t="s">
        <v>17</v>
      </c>
      <c r="C4" s="14" t="s">
        <v>18</v>
      </c>
      <c r="D4" s="14" t="s">
        <v>19</v>
      </c>
      <c r="E4" s="14" t="s">
        <v>20</v>
      </c>
      <c r="F4" s="14" t="s">
        <v>21</v>
      </c>
      <c r="G4" s="14" t="s">
        <v>22</v>
      </c>
      <c r="H4" s="14" t="s">
        <v>23</v>
      </c>
      <c r="I4" s="14" t="s">
        <v>24</v>
      </c>
      <c r="J4" s="14" t="s">
        <v>25</v>
      </c>
      <c r="K4" s="14" t="s">
        <v>26</v>
      </c>
    </row>
    <row r="5" spans="1:12" ht="14.25" x14ac:dyDescent="0.2">
      <c r="A5" s="14" t="s">
        <v>27</v>
      </c>
      <c r="B5" s="14">
        <v>10</v>
      </c>
      <c r="C5" s="14">
        <v>0</v>
      </c>
      <c r="D5" s="14" t="str">
        <f>10&amp;"."&amp;(B5+A2)&amp;"."&amp;0&amp;"."&amp;0</f>
        <v>10.13.0.0</v>
      </c>
      <c r="E5" s="14" t="str">
        <f t="shared" ref="E5:E8" si="0">LEFT(D5,LEN(D5)-1)&amp;"1"</f>
        <v>10.13.0.1</v>
      </c>
      <c r="F5" s="14" t="s">
        <v>28</v>
      </c>
      <c r="G5" s="14" t="str">
        <f t="shared" ref="G5:G8" si="1">LEFT(D5,LEN(D5)-1)&amp;"1"</f>
        <v>10.13.0.1</v>
      </c>
      <c r="H5" s="14" t="str">
        <f>LEFT(D5,FIND(".",D5,FIND(".",D5)+1)-1)&amp;".255.254"</f>
        <v>10.13.255.254</v>
      </c>
      <c r="I5" s="14">
        <v>10</v>
      </c>
      <c r="J5" s="14">
        <v>21</v>
      </c>
      <c r="K5" s="14">
        <v>5</v>
      </c>
    </row>
    <row r="6" spans="1:12" ht="14.25" x14ac:dyDescent="0.2">
      <c r="A6" s="14" t="s">
        <v>29</v>
      </c>
      <c r="B6" s="14">
        <v>20</v>
      </c>
      <c r="C6" s="14">
        <v>0</v>
      </c>
      <c r="D6" s="14" t="str">
        <f>10&amp;"."&amp;(B6+A2)&amp;"."&amp;0&amp;"."&amp;0</f>
        <v>10.23.0.0</v>
      </c>
      <c r="E6" s="14" t="str">
        <f t="shared" si="0"/>
        <v>10.23.0.1</v>
      </c>
      <c r="F6" s="14" t="s">
        <v>28</v>
      </c>
      <c r="G6" s="14" t="str">
        <f t="shared" si="1"/>
        <v>10.23.0.1</v>
      </c>
      <c r="H6" s="14" t="str">
        <f>LEFT(D6,FIND(".",D6,FIND(".",D6)+1)-1)&amp;".255.254"</f>
        <v>10.23.255.254</v>
      </c>
      <c r="I6" s="14">
        <v>10</v>
      </c>
      <c r="J6" s="14">
        <v>11</v>
      </c>
      <c r="K6" s="14">
        <v>2</v>
      </c>
    </row>
    <row r="7" spans="1:12" ht="14.25" x14ac:dyDescent="0.2">
      <c r="A7" s="14" t="s">
        <v>30</v>
      </c>
      <c r="B7" s="14">
        <v>30</v>
      </c>
      <c r="C7" s="14">
        <v>0</v>
      </c>
      <c r="D7" s="14" t="str">
        <f>10&amp;"."&amp;(B7+A2)&amp;"."&amp;0&amp;"."&amp;0</f>
        <v>10.33.0.0</v>
      </c>
      <c r="E7" s="14" t="str">
        <f t="shared" si="0"/>
        <v>10.33.0.1</v>
      </c>
      <c r="F7" s="14" t="s">
        <v>28</v>
      </c>
      <c r="G7" s="14" t="str">
        <f t="shared" si="1"/>
        <v>10.33.0.1</v>
      </c>
      <c r="H7" s="14" t="str">
        <f>LEFT(D7,FIND(".",D7,FIND(".",D7)+1)-1)&amp;".255.254"</f>
        <v>10.33.255.254</v>
      </c>
      <c r="I7" s="14">
        <v>10</v>
      </c>
      <c r="J7" s="14">
        <v>42</v>
      </c>
      <c r="K7" s="14">
        <v>7</v>
      </c>
    </row>
    <row r="8" spans="1:12" ht="14.25" x14ac:dyDescent="0.2">
      <c r="A8" s="14" t="s">
        <v>31</v>
      </c>
      <c r="B8" s="14">
        <v>40</v>
      </c>
      <c r="C8" s="14">
        <v>0</v>
      </c>
      <c r="D8" s="14" t="str">
        <f>10&amp;"."&amp;(B8+A2)&amp;"."&amp;0&amp;"."&amp;0</f>
        <v>10.43.0.0</v>
      </c>
      <c r="E8" s="14" t="str">
        <f t="shared" si="0"/>
        <v>10.43.0.1</v>
      </c>
      <c r="F8" s="14" t="s">
        <v>28</v>
      </c>
      <c r="G8" s="14" t="str">
        <f t="shared" si="1"/>
        <v>10.43.0.1</v>
      </c>
      <c r="H8" s="14" t="str">
        <f>LEFT(D8,FIND(".",D8,FIND(".",D8)+1)-1)&amp;".255.254"</f>
        <v>10.43.255.254</v>
      </c>
      <c r="I8" s="14">
        <v>10</v>
      </c>
      <c r="J8" s="14">
        <v>41</v>
      </c>
      <c r="K8" s="14">
        <v>10</v>
      </c>
    </row>
    <row r="9" spans="1:12" ht="14.25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</row>
    <row r="10" spans="1:12" ht="15" x14ac:dyDescent="0.2">
      <c r="A10" s="14" t="s">
        <v>16</v>
      </c>
      <c r="B10" s="6" t="s">
        <v>32</v>
      </c>
      <c r="C10" s="14" t="s">
        <v>33</v>
      </c>
      <c r="D10" s="14" t="s">
        <v>34</v>
      </c>
      <c r="E10" s="14"/>
      <c r="F10" s="14"/>
      <c r="G10" s="14"/>
      <c r="H10" s="14"/>
      <c r="I10" s="14"/>
      <c r="J10" s="14"/>
      <c r="K10" s="14"/>
      <c r="L10" s="14"/>
    </row>
    <row r="11" spans="1:12" ht="14.25" x14ac:dyDescent="0.2">
      <c r="A11" s="14" t="s">
        <v>27</v>
      </c>
      <c r="B11" s="18" t="s">
        <v>35</v>
      </c>
      <c r="C11" s="14">
        <v>10</v>
      </c>
      <c r="D11" s="14" t="str">
        <f>A2&amp;"."&amp;A2&amp;"."&amp;A2&amp;"."&amp;(C11)</f>
        <v>3.3.3.10</v>
      </c>
      <c r="E11" s="14"/>
      <c r="F11" s="14"/>
      <c r="G11" s="14"/>
      <c r="H11" s="14"/>
      <c r="I11" s="14"/>
      <c r="J11" s="14"/>
      <c r="K11" s="14"/>
      <c r="L11" s="14"/>
    </row>
    <row r="12" spans="1:12" ht="14.25" x14ac:dyDescent="0.2">
      <c r="A12" s="14" t="s">
        <v>29</v>
      </c>
      <c r="B12" s="18" t="s">
        <v>36</v>
      </c>
      <c r="C12" s="14">
        <v>20</v>
      </c>
      <c r="D12" s="14" t="str">
        <f>A2&amp;"."&amp;A2&amp;"."&amp;A2&amp;"."&amp;(C12)</f>
        <v>3.3.3.20</v>
      </c>
      <c r="E12" s="14"/>
      <c r="F12" s="14"/>
      <c r="G12" s="14"/>
      <c r="H12" s="14"/>
      <c r="I12" s="14"/>
      <c r="J12" s="14"/>
      <c r="K12" s="14"/>
      <c r="L12" s="14"/>
    </row>
    <row r="13" spans="1:12" ht="14.25" x14ac:dyDescent="0.2">
      <c r="A13" s="14" t="s">
        <v>30</v>
      </c>
      <c r="B13" s="18" t="s">
        <v>37</v>
      </c>
      <c r="C13" s="14">
        <v>30</v>
      </c>
      <c r="D13" s="14" t="str">
        <f>A2&amp;"."&amp;A2&amp;"."&amp;A2&amp;"."&amp;(C13)</f>
        <v>3.3.3.30</v>
      </c>
      <c r="E13" s="14"/>
      <c r="F13" s="14"/>
      <c r="G13" s="14"/>
      <c r="H13" s="14"/>
      <c r="I13" s="14"/>
      <c r="J13" s="14"/>
      <c r="K13" s="14"/>
      <c r="L13" s="14"/>
    </row>
    <row r="14" spans="1:12" ht="14.25" x14ac:dyDescent="0.2">
      <c r="A14" s="14" t="s">
        <v>31</v>
      </c>
      <c r="B14" s="18" t="s">
        <v>38</v>
      </c>
      <c r="C14" s="14">
        <v>40</v>
      </c>
      <c r="D14" s="14" t="str">
        <f t="shared" ref="D14" si="2">$A$2&amp;"."&amp;$A$2&amp;"."&amp;$A$2&amp;"."&amp;(C14)</f>
        <v>3.3.3.40</v>
      </c>
      <c r="E14" s="14"/>
      <c r="F14" s="14"/>
      <c r="G14" s="14"/>
      <c r="H14" s="14"/>
      <c r="I14" s="14"/>
      <c r="J14" s="14"/>
      <c r="K14" s="14"/>
      <c r="L14" s="14"/>
    </row>
    <row r="15" spans="1:12" ht="14.25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2" ht="14.25" x14ac:dyDescent="0.2">
      <c r="A16" s="14" t="s">
        <v>39</v>
      </c>
      <c r="B16" s="14" t="s">
        <v>16</v>
      </c>
      <c r="C16" s="14" t="s">
        <v>40</v>
      </c>
      <c r="D16" s="14" t="s">
        <v>21</v>
      </c>
      <c r="E16" s="14" t="s">
        <v>41</v>
      </c>
      <c r="F16" s="14" t="s">
        <v>42</v>
      </c>
      <c r="G16" s="14" t="s">
        <v>43</v>
      </c>
      <c r="H16" s="14" t="s">
        <v>44</v>
      </c>
      <c r="I16" s="14" t="s">
        <v>45</v>
      </c>
      <c r="J16" s="14" t="s">
        <v>46</v>
      </c>
      <c r="K16" s="14"/>
    </row>
    <row r="17" spans="1:12" ht="14.25" x14ac:dyDescent="0.2">
      <c r="A17" s="14" t="s">
        <v>47</v>
      </c>
      <c r="B17" s="14" t="s">
        <v>27</v>
      </c>
      <c r="C17" s="14" t="str">
        <f>172&amp;"."&amp;16&amp;"."&amp;0&amp;"."&amp;(H17+$A$2)</f>
        <v>172.16.0.13</v>
      </c>
      <c r="D17" s="14" t="s">
        <v>48</v>
      </c>
      <c r="E17" s="14"/>
      <c r="F17" s="14"/>
      <c r="G17" s="14" t="s">
        <v>49</v>
      </c>
      <c r="H17" s="14">
        <v>10</v>
      </c>
      <c r="I17" s="14">
        <f t="array" ref="I17">'Site 1 (HUB)'!I17</f>
        <v>0</v>
      </c>
      <c r="J17" s="14"/>
      <c r="K17" s="14"/>
    </row>
    <row r="18" spans="1:12" ht="14.25" x14ac:dyDescent="0.2">
      <c r="A18" s="14" t="s">
        <v>50</v>
      </c>
      <c r="B18" s="14" t="s">
        <v>30</v>
      </c>
      <c r="C18" s="14" t="str">
        <f>172&amp;"."&amp;16&amp;"."&amp;0&amp;"."&amp;(H18+$A$2)</f>
        <v>172.16.0.33</v>
      </c>
      <c r="D18" s="14" t="s">
        <v>48</v>
      </c>
      <c r="E18" s="14"/>
      <c r="F18" s="14"/>
      <c r="G18" s="14" t="s">
        <v>49</v>
      </c>
      <c r="H18" s="14">
        <v>30</v>
      </c>
      <c r="I18" s="14" t="b">
        <f t="array" ref="I18">'Site 1 (HUB)'!I18</f>
        <v>1</v>
      </c>
      <c r="J18" s="14"/>
      <c r="K18" s="14"/>
    </row>
    <row r="19" spans="1:12" ht="14.25" x14ac:dyDescent="0.2">
      <c r="A19" s="14" t="s">
        <v>51</v>
      </c>
      <c r="B19" s="14" t="s">
        <v>31</v>
      </c>
      <c r="C19" s="14" t="str">
        <f t="shared" ref="C19" si="3">172&amp;"."&amp;16&amp;"."&amp;0&amp;"."&amp;(H19+$A$2)</f>
        <v>172.16.0.43</v>
      </c>
      <c r="D19" s="14" t="s">
        <v>48</v>
      </c>
      <c r="E19" s="14"/>
      <c r="F19" s="14"/>
      <c r="G19" s="14" t="s">
        <v>49</v>
      </c>
      <c r="H19" s="14">
        <v>40</v>
      </c>
      <c r="I19" s="14" t="b">
        <f>'Site 1 (HUB)'!I19</f>
        <v>1</v>
      </c>
      <c r="J19" s="14"/>
      <c r="K19" s="14"/>
    </row>
    <row r="20" spans="1:12" ht="14.25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</row>
    <row r="21" spans="1:12" ht="14.25" x14ac:dyDescent="0.2">
      <c r="A21" s="14" t="s">
        <v>0</v>
      </c>
      <c r="B21" s="14" t="s">
        <v>3</v>
      </c>
      <c r="C21" s="14" t="s">
        <v>4</v>
      </c>
      <c r="D21" s="14" t="s">
        <v>5</v>
      </c>
      <c r="E21" s="14" t="s">
        <v>6</v>
      </c>
      <c r="F21" s="14" t="s">
        <v>52</v>
      </c>
      <c r="G21" s="1" t="s">
        <v>53</v>
      </c>
      <c r="H21" s="14" t="s">
        <v>63</v>
      </c>
      <c r="I21" s="14"/>
      <c r="J21" s="14"/>
      <c r="K21" s="14"/>
    </row>
    <row r="22" spans="1:12" ht="14.25" x14ac:dyDescent="0.2">
      <c r="A22" s="14">
        <f>A2</f>
        <v>3</v>
      </c>
      <c r="B22" s="14" t="s">
        <v>11</v>
      </c>
      <c r="C22" s="14" t="s">
        <v>12</v>
      </c>
      <c r="D22" s="14" t="s">
        <v>13</v>
      </c>
      <c r="E22" s="14" t="s">
        <v>12</v>
      </c>
      <c r="F22" s="14">
        <v>2</v>
      </c>
      <c r="G22" s="2" t="s">
        <v>65</v>
      </c>
      <c r="H22" s="21"/>
      <c r="I22" s="14"/>
      <c r="J22" s="14"/>
      <c r="K22" s="14"/>
    </row>
    <row r="23" spans="1:12" ht="14.25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spans="1:12" ht="15" x14ac:dyDescent="0.2">
      <c r="A24" s="15" t="s">
        <v>54</v>
      </c>
      <c r="B24" s="15" t="s">
        <v>55</v>
      </c>
      <c r="C24" s="15" t="s">
        <v>56</v>
      </c>
      <c r="D24" s="15" t="s">
        <v>20</v>
      </c>
      <c r="E24" s="15" t="s">
        <v>21</v>
      </c>
      <c r="F24" s="15" t="s">
        <v>57</v>
      </c>
      <c r="G24" s="15" t="s">
        <v>58</v>
      </c>
      <c r="H24" s="15" t="s">
        <v>59</v>
      </c>
      <c r="I24" s="15" t="s">
        <v>60</v>
      </c>
      <c r="J24" s="15" t="s">
        <v>1</v>
      </c>
      <c r="K24" s="15" t="s">
        <v>61</v>
      </c>
      <c r="L24" t="s">
        <v>64</v>
      </c>
    </row>
    <row r="25" spans="1:12" ht="14.25" x14ac:dyDescent="0.2">
      <c r="A25" s="8">
        <f>(ROW())-(ROW()-1)</f>
        <v>1</v>
      </c>
      <c r="B25" s="8">
        <v>10</v>
      </c>
      <c r="C25" s="8" t="str">
        <f>LEFT($G$5,LEN($G$5)-1)&amp;(RIGHT($G$5,1)+A25)</f>
        <v>10.13.0.2</v>
      </c>
      <c r="D25" s="8" t="str">
        <f>$E$5</f>
        <v>10.13.0.1</v>
      </c>
      <c r="E25" s="8" t="str">
        <f>$F$5</f>
        <v>255.255.0.0</v>
      </c>
      <c r="F25" s="8">
        <v>24</v>
      </c>
      <c r="G25" s="8">
        <v>1</v>
      </c>
      <c r="H25" s="11">
        <v>0</v>
      </c>
      <c r="I25" s="8" t="s">
        <v>62</v>
      </c>
      <c r="J25" s="2" t="s">
        <v>10</v>
      </c>
      <c r="K25" s="2">
        <f>IF($A25=1,F25-G25-H25*$F$22-2-IF(OR(UPPER($G$22)="SPAN",UPPER($G$22)="RSPAN"),1,0),F25-G25-(1+H25)*$F$22-1)</f>
        <v>20</v>
      </c>
    </row>
    <row r="26" spans="1:12" ht="14.25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</row>
  </sheetData>
  <dataValidations count="2">
    <dataValidation type="custom" allowBlank="1" showInputMessage="1" showErrorMessage="1" sqref="I25" xr:uid="{00000000-0002-0000-0200-000000000000}">
      <formula1>IF(I25="",TRUE,SUM(--_xlfn.TEXTAFTER(_xlfn.TEXTSPLIT(I25,"-"),"."))&lt;=K25)</formula1>
    </dataValidation>
    <dataValidation type="list" sqref="G22" xr:uid="{00000000-0002-0000-0200-000001000000}">
      <formula1>"SPAN,RSPAN,ERSPAN"</formula1>
    </dataValidation>
  </dataValidation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 1 (HUB)</vt:lpstr>
      <vt:lpstr>Site 2</vt:lpstr>
      <vt:lpstr>Site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yonatan moknen</cp:lastModifiedBy>
  <dcterms:modified xsi:type="dcterms:W3CDTF">2026-09-13T17:28:38Z</dcterms:modified>
</cp:coreProperties>
</file>