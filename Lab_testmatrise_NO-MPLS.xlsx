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nat\Videos\INI\"/>
    </mc:Choice>
  </mc:AlternateContent>
  <xr:revisionPtr revIDLastSave="0" documentId="13_ncr:1_{85A510D5-4766-4A15-8A5D-F092C5BA96B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Oversikt" sheetId="1" r:id="rId1"/>
    <sheet name="NO-MPLS te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 s="1"/>
  <c r="B7" i="1"/>
  <c r="B8" i="1" s="1"/>
  <c r="B12" i="1"/>
  <c r="B13" i="1"/>
  <c r="B14" i="1"/>
  <c r="B15" i="1"/>
  <c r="B16" i="1"/>
  <c r="B17" i="1"/>
  <c r="F7" i="1"/>
  <c r="F8" i="1" s="1"/>
  <c r="E7" i="1"/>
  <c r="E8" i="1" s="1"/>
  <c r="D7" i="1"/>
  <c r="D8" i="1" s="1"/>
  <c r="C7" i="1"/>
  <c r="C8" i="1" s="1"/>
  <c r="G7" i="1"/>
  <c r="G8" i="1" l="1"/>
</calcChain>
</file>

<file path=xl/sharedStrings.xml><?xml version="1.0" encoding="utf-8"?>
<sst xmlns="http://schemas.openxmlformats.org/spreadsheetml/2006/main" count="605" uniqueCount="374">
  <si>
    <t>LAB TESTMATRise – Rapid Deployment Network</t>
  </si>
  <si>
    <t>Variant</t>
  </si>
  <si>
    <t>Totalt</t>
  </si>
  <si>
    <t>Bestått</t>
  </si>
  <si>
    <t>Feilet</t>
  </si>
  <si>
    <t>Blokkert</t>
  </si>
  <si>
    <t>Åpne</t>
  </si>
  <si>
    <t>Bestått %</t>
  </si>
  <si>
    <t>Pilotstatus</t>
  </si>
  <si>
    <t>NO-MPLS</t>
  </si>
  <si>
    <t>TOTALT</t>
  </si>
  <si>
    <t>Status</t>
  </si>
  <si>
    <t>ANBEFALT TESTREKKEFØLGE
1. Grunnsjekk
2. Underlay
3. DMVPN
4. IPsec
5. Overlay routing
6. Tjenester
7. Sikkerhet
8. QoS
9. Feil/recovery
10. Akseptanse
Ikke gå videre til neste fase før obligatoriske tester i forrige fase er grønne.</t>
  </si>
  <si>
    <t>Ikke startet</t>
  </si>
  <si>
    <t>Pågår</t>
  </si>
  <si>
    <t>Ikke relevant</t>
  </si>
  <si>
    <t>Test-ID</t>
  </si>
  <si>
    <t>Fase</t>
  </si>
  <si>
    <t>Område</t>
  </si>
  <si>
    <t>Prioritet</t>
  </si>
  <si>
    <t>Må bestå</t>
  </si>
  <si>
    <t>Forutsetning</t>
  </si>
  <si>
    <t>Test / handling</t>
  </si>
  <si>
    <t>Kommando(er) / handling</t>
  </si>
  <si>
    <t>Forventet resultat</t>
  </si>
  <si>
    <t>Faktisk resultat</t>
  </si>
  <si>
    <t>Bevis / kommentar</t>
  </si>
  <si>
    <t>Ansvarlig</t>
  </si>
  <si>
    <t>Dato</t>
  </si>
  <si>
    <t>1. Grunnsjekk</t>
  </si>
  <si>
    <t>Konfigurasjon</t>
  </si>
  <si>
    <t>Kritisk</t>
  </si>
  <si>
    <t>Ja</t>
  </si>
  <si>
    <t>Alle noder er startet og config er lastet inn</t>
  </si>
  <si>
    <t>show running-config | include hostname
show startup-config | include hostname</t>
  </si>
  <si>
    <t>Interfaces</t>
  </si>
  <si>
    <t>Kabling/topologi er ferdig</t>
  </si>
  <si>
    <t>show ip interface brief</t>
  </si>
  <si>
    <t>VLAN</t>
  </si>
  <si>
    <t>Switch-config er lastet</t>
  </si>
  <si>
    <t>show vlan brief</t>
  </si>
  <si>
    <t>Trunk</t>
  </si>
  <si>
    <t>show interfaces trunk</t>
  </si>
  <si>
    <t>EtherChannel</t>
  </si>
  <si>
    <t>Høy</t>
  </si>
  <si>
    <t>SW1↔SW2 er koblet med forventede porter</t>
  </si>
  <si>
    <t>show etherchannel summary</t>
  </si>
  <si>
    <t>Gateway</t>
  </si>
  <si>
    <t>Klient: ping &lt;lokal-gateway&gt;</t>
  </si>
  <si>
    <t>Blackhole</t>
  </si>
  <si>
    <t>Nei</t>
  </si>
  <si>
    <t>Ubrukte porter finnes</t>
  </si>
  <si>
    <t>Kontroller at ubrukte porter ligger i VLAN999 og er shutdown.</t>
  </si>
  <si>
    <t>show interfaces status
show vlan brief</t>
  </si>
  <si>
    <t>MGMT-port</t>
  </si>
  <si>
    <t>Dedikert management-port er konfigurert</t>
  </si>
  <si>
    <t>show running-config interface &lt;mgmt-port&gt;</t>
  </si>
  <si>
    <t>2. Underlay</t>
  </si>
  <si>
    <t>OSPF</t>
  </si>
  <si>
    <t>show ip ospf neighbor</t>
  </si>
  <si>
    <t>OSPF adjacency er oppe</t>
  </si>
  <si>
    <t>UNET transport</t>
  </si>
  <si>
    <t>PA transport</t>
  </si>
  <si>
    <t>3. DMVPN</t>
  </si>
  <si>
    <t>Tunnel source</t>
  </si>
  <si>
    <t>Tunnel status</t>
  </si>
  <si>
    <t>show ip interface brief | include Tunnel</t>
  </si>
  <si>
    <t>NHRP hub</t>
  </si>
  <si>
    <t>RS1: show dmvpn
RS1: show ip nhrp</t>
  </si>
  <si>
    <t>Hub er tilgjengelig</t>
  </si>
  <si>
    <t>show dmvpn
show ip nhrp</t>
  </si>
  <si>
    <t>MGMT overlay</t>
  </si>
  <si>
    <t>RS2: ping vrf MGMT 172.16.0.11 source 172.16.0.12</t>
  </si>
  <si>
    <t>UNET overlay</t>
  </si>
  <si>
    <t>RS2: ping vrf UNET 172.16.0.31 source 172.16.0.32</t>
  </si>
  <si>
    <t>PA overlay</t>
  </si>
  <si>
    <t>RS2: ping vrf PA 172.16.0.41 source 172.16.0.42</t>
  </si>
  <si>
    <t>4. IPsec</t>
  </si>
  <si>
    <t>IKEv2 UNET</t>
  </si>
  <si>
    <t>Tunnel30/NHRP fungerer</t>
  </si>
  <si>
    <t>show crypto ikev2 sa</t>
  </si>
  <si>
    <t>IPsec UNET</t>
  </si>
  <si>
    <t>show crypto ipsec sa</t>
  </si>
  <si>
    <t>IKEv2 PA</t>
  </si>
  <si>
    <t>Tunnel40/NHRP fungerer</t>
  </si>
  <si>
    <t>IPsec PA</t>
  </si>
  <si>
    <t>5. Overlay routing</t>
  </si>
  <si>
    <t>EIGRP neighbors</t>
  </si>
  <si>
    <t>DMVPN/NHRP fungerer</t>
  </si>
  <si>
    <t>MGMT routes</t>
  </si>
  <si>
    <t>Kontroller remote MGMT LAN-ruter.</t>
  </si>
  <si>
    <t>show ip route vrf MGMT eigrp</t>
  </si>
  <si>
    <t>UNET routes</t>
  </si>
  <si>
    <t>Kontroller remote UNET LAN-ruter.</t>
  </si>
  <si>
    <t>show ip route vrf UNET eigrp</t>
  </si>
  <si>
    <t>PA routes</t>
  </si>
  <si>
    <t>Kontroller remote PA LAN-ruter.</t>
  </si>
  <si>
    <t>show ip route vrf PA eigrp</t>
  </si>
  <si>
    <t>EIGRP er konvergert</t>
  </si>
  <si>
    <t>6. Tjenester</t>
  </si>
  <si>
    <t>DHCP</t>
  </si>
  <si>
    <t>Klienter er tilkoblet riktig VLAN</t>
  </si>
  <si>
    <t>Klient: renew DHCP
Router: show ip dhcp binding</t>
  </si>
  <si>
    <t>DNS</t>
  </si>
  <si>
    <t>nslookup example.com</t>
  </si>
  <si>
    <t>DNS-server 192.168.255.1 brukes og oppslag lykkes.</t>
  </si>
  <si>
    <t>Internet/NAT</t>
  </si>
  <si>
    <t>SSH</t>
  </si>
  <si>
    <t>MGMT reachability fungerer</t>
  </si>
  <si>
    <t>ssh &lt;device-mgmt-ip&gt;</t>
  </si>
  <si>
    <t>TACACS</t>
  </si>
  <si>
    <t>TACACS-server 10.11.0.10 kjører</t>
  </si>
  <si>
    <t>show aaa servers
Test SSH-login</t>
  </si>
  <si>
    <t>TACACS fallback</t>
  </si>
  <si>
    <t>Syslog</t>
  </si>
  <si>
    <t>NTP</t>
  </si>
  <si>
    <t>Medium</t>
  </si>
  <si>
    <t>show ntp associations
show clock</t>
  </si>
  <si>
    <t>7. Sikkerhet</t>
  </si>
  <si>
    <t>DHCP snooping</t>
  </si>
  <si>
    <t>Switch security er aktiv</t>
  </si>
  <si>
    <t>DAI</t>
  </si>
  <si>
    <t>DHCP snooping binding finnes</t>
  </si>
  <si>
    <t>show ip arp inspection
Generer ugyldig ARP</t>
  </si>
  <si>
    <t>MGMT statisk host</t>
  </si>
  <si>
    <t>ping 10.11.0.10
show ip arp inspection</t>
  </si>
  <si>
    <t>Port-security</t>
  </si>
  <si>
    <t>Access-port har port-security</t>
  </si>
  <si>
    <t>show port-security interface &lt;port&gt;</t>
  </si>
  <si>
    <t>BPDU Guard</t>
  </si>
  <si>
    <t>show spanning-tree inconsistentports
show interfaces status err-disabled</t>
  </si>
  <si>
    <t>Segmentering</t>
  </si>
  <si>
    <t>SPAN</t>
  </si>
  <si>
    <t>8. QoS</t>
  </si>
  <si>
    <t>DSCP marking</t>
  </si>
  <si>
    <t>QoS policy er applied</t>
  </si>
  <si>
    <t>show policy-map interface</t>
  </si>
  <si>
    <t>Bandwidth</t>
  </si>
  <si>
    <t>show policy-map interface &lt;wan-interface&gt;</t>
  </si>
  <si>
    <t>9. Feil/recovery</t>
  </si>
  <si>
    <t>EtherChannel medlem</t>
  </si>
  <si>
    <t>show etherchannel summary
Kontinuerlig ping</t>
  </si>
  <si>
    <t>Router restart</t>
  </si>
  <si>
    <t>Baseline er grønn</t>
  </si>
  <si>
    <t>IPsec recovery</t>
  </si>
  <si>
    <t>clear crypto ikev2 sa
clear crypto ipsec sa
show crypto ikev2 sa</t>
  </si>
  <si>
    <t>Switch restart</t>
  </si>
  <si>
    <t>Startup-config er lagret</t>
  </si>
  <si>
    <t>reload
show vlan brief
show interfaces trunk
show etherchannel summary</t>
  </si>
  <si>
    <t>Full cold boot</t>
  </si>
  <si>
    <t>Alle tidligere gate-tester er bestått</t>
  </si>
  <si>
    <t>10. Akseptanse</t>
  </si>
  <si>
    <t>Pilotklar</t>
  </si>
  <si>
    <t>Alle obligatoriske tester er gjennomført</t>
  </si>
  <si>
    <t>Se Oversikt-arket</t>
  </si>
  <si>
    <t>NOM-001</t>
  </si>
  <si>
    <t>Kontroller riktig hostname og forventet config på RS1–RS3 og switchene.</t>
  </si>
  <si>
    <t>Riktig hostname på alle enheter og ingen åpenbare config-mangler.</t>
  </si>
  <si>
    <t>NOM-002</t>
  </si>
  <si>
    <t>Kontroller fysiske interface og loopbacks.</t>
  </si>
  <si>
    <t>Fysiske forventede interface og Loopback0/10/20/30/40 samt tunnel-source loopbacks er up/up.</t>
  </si>
  <si>
    <t>NOM-003</t>
  </si>
  <si>
    <t>Kontroller VLAN 10/20/30/40/999 og VLAN200-begrensning.</t>
  </si>
  <si>
    <t>VLAN-tabellen samsvarer med designet; VLAN200 kun hub/SW1 Site1.</t>
  </si>
  <si>
    <t>NOM-004</t>
  </si>
  <si>
    <t>Uplinks er koblet</t>
  </si>
  <si>
    <t>Kontroller trunk mot router og mellom switcher.</t>
  </si>
  <si>
    <t>Tillatte VLAN og native VLAN999 stemmer.</t>
  </si>
  <si>
    <t>NOM-005</t>
  </si>
  <si>
    <t>Kontroller LACP/EtherChannel.</t>
  </si>
  <si>
    <t>Port-channel er oppe og medlemsporter er bundlet.</t>
  </si>
  <si>
    <t>NOM-006</t>
  </si>
  <si>
    <t>Testklienter er tilkoblet</t>
  </si>
  <si>
    <t>Ping lokal gateway fra hvert VLAN.</t>
  </si>
  <si>
    <t>Lokal gateway svarer uten tap.</t>
  </si>
  <si>
    <t>NOM-007</t>
  </si>
  <si>
    <t>Ubrukte porter er shutdown og i VLAN999.</t>
  </si>
  <si>
    <t>NOM-008</t>
  </si>
  <si>
    <t>Kontroller MGMT-port og DAI trust.</t>
  </si>
  <si>
    <t>MGMT-port er i riktig VLAN og trusted bare der designet krever det.</t>
  </si>
  <si>
    <t>NOM-009</t>
  </si>
  <si>
    <t>WAN/core-linker er up</t>
  </si>
  <si>
    <t>Kontroller global OSPF adjacency.</t>
  </si>
  <si>
    <t>Alle forventede OSPF naboer er FULL.</t>
  </si>
  <si>
    <t>NOM-010</t>
  </si>
  <si>
    <t>Loopback0</t>
  </si>
  <si>
    <t>Test global reachability mellom Loopback0.</t>
  </si>
  <si>
    <t>RS1: ping 2.2.2.0 source 1.1.1.0
RS1: ping 3.3.3.0 source 1.1.1.0</t>
  </si>
  <si>
    <t>Remote Loopback0 nås via global OSPF.</t>
  </si>
  <si>
    <t>NOM-011</t>
  </si>
  <si>
    <t>Tunnel source loopbacks</t>
  </si>
  <si>
    <t>OSPF fungerer</t>
  </si>
  <si>
    <t>Kontroller at separate tunnel-source loopbacks finnes og annonseres globalt.</t>
  </si>
  <si>
    <t>show ip interface brief | include Loopback
show ip route ospf</t>
  </si>
  <si>
    <t>Loopback11/21/31/41 (per aktuell tunnel) finnes globalt og remote source-/32-ruter læres via OSPF.</t>
  </si>
  <si>
    <t>NOM-012</t>
  </si>
  <si>
    <t>Remote source loopbacks finnes i OSPF</t>
  </si>
  <si>
    <t>Test global reachability til remote Tunnel30-source.</t>
  </si>
  <si>
    <t>RS1: ping 2.2.2.31 source 1.1.1.31
RS1: ping 3.3.3.31 source 1.1.1.31</t>
  </si>
  <si>
    <t>Remote UNET transport-source nås i global routing table.</t>
  </si>
  <si>
    <t>NOM-013</t>
  </si>
  <si>
    <t>Test global reachability til remote Tunnel40-source.</t>
  </si>
  <si>
    <t>RS1: ping 2.2.2.41 source 1.1.1.41
RS1: ping 3.3.3.41 source 1.1.1.41</t>
  </si>
  <si>
    <t>Remote PA transport-source nås i global routing table.</t>
  </si>
  <si>
    <t>NOM-014</t>
  </si>
  <si>
    <t>MPLS-uavhengighet</t>
  </si>
  <si>
    <t>NO-MPLS config er lastet</t>
  </si>
  <si>
    <t>Bekreft at løsningens funksjon ikke avhenger av LDP/MP-BGP.</t>
  </si>
  <si>
    <t>show running-config | include ^mpls|^router bgp</t>
  </si>
  <si>
    <t>Ingen nødvendig MPLS/LDP/MP-BGP-avhengighet finnes i NO-MPLS-varianten.</t>
  </si>
  <si>
    <t>NOM-015</t>
  </si>
  <si>
    <t>Global source-loopback reachability fungerer</t>
  </si>
  <si>
    <t>Kontroller separate tunnel-source loopbacks.</t>
  </si>
  <si>
    <t>show running-config interface tunnel 10
show running-config interface tunnel 20
show running-config interface tunnel 30
show running-config interface tunnel 40</t>
  </si>
  <si>
    <t>Tunnel10→Loopback11, Tunnel20→Loopback21, Tunnel30→Loopback31, Tunnel40→Loopback41.</t>
  </si>
  <si>
    <t>NOM-016</t>
  </si>
  <si>
    <t>Underlay fungerer</t>
  </si>
  <si>
    <t>Kontroller Tunnel10/20/30/40.</t>
  </si>
  <si>
    <t>Alle fire tunnel-interface er up/up.</t>
  </si>
  <si>
    <t>NOM-017</t>
  </si>
  <si>
    <t>Tunneler er up</t>
  </si>
  <si>
    <t>Kontroller hubens dynamiske NHRP-registreringer.</t>
  </si>
  <si>
    <t>Hub ser begge spokes på alle fire DMVPN-clouds.</t>
  </si>
  <si>
    <t>NOM-018</t>
  </si>
  <si>
    <t>NHRP spokes</t>
  </si>
  <si>
    <t>Kontroller spoke mapping/NHS.</t>
  </si>
  <si>
    <t>Spokes har riktig tunnel-IP→hub global NBMA mapping.</t>
  </si>
  <si>
    <t>NOM-019</t>
  </si>
  <si>
    <t>NHRP fungerer</t>
  </si>
  <si>
    <t>Ping Tunnel10 til hub.</t>
  </si>
  <si>
    <t>Ping lykkes.</t>
  </si>
  <si>
    <t>NOM-020</t>
  </si>
  <si>
    <t>INET overlay</t>
  </si>
  <si>
    <t>Ping Tunnel20 til hub.</t>
  </si>
  <si>
    <t>RS2: ping vrf INET 172.16.0.21 source 172.16.0.22</t>
  </si>
  <si>
    <t>NOM-021</t>
  </si>
  <si>
    <t>Ping Tunnel30 til hub.</t>
  </si>
  <si>
    <t>NOM-022</t>
  </si>
  <si>
    <t>Ping Tunnel40 til hub.</t>
  </si>
  <si>
    <t>NOM-023</t>
  </si>
  <si>
    <t>Generer UNET-trafikk og kontroller IKEv2.</t>
  </si>
  <si>
    <t>IKEv2 SA er etablert mot forventede UNET peers.</t>
  </si>
  <si>
    <t>NOM-024</t>
  </si>
  <si>
    <t>IKEv2 er etablert</t>
  </si>
  <si>
    <t>Kontroller UNET IPsec counters.</t>
  </si>
  <si>
    <t>Encaps/decaps øker for UNET.</t>
  </si>
  <si>
    <t>NOM-025</t>
  </si>
  <si>
    <t>Generer PA-trafikk og kontroller IKEv2.</t>
  </si>
  <si>
    <t>IKEv2 SA er etablert mot forventede PA peers.</t>
  </si>
  <si>
    <t>NOM-026</t>
  </si>
  <si>
    <t>Kontroller PA IPsec counters.</t>
  </si>
  <si>
    <t>Encaps/decaps øker for PA.</t>
  </si>
  <si>
    <t>NOM-027</t>
  </si>
  <si>
    <t>Global FVRF</t>
  </si>
  <si>
    <t>IPsec config er lastet</t>
  </si>
  <si>
    <t>Kontroller at IKEv2 ikke er bundet til tjeneste-FVRF når transporten er global.</t>
  </si>
  <si>
    <t>show running-config | section crypto ikev2</t>
  </si>
  <si>
    <t>Transportidentiteter matcher globale source-loopbacks; ingen feilaktig VRF-avhengighet.</t>
  </si>
  <si>
    <t>NOM-028</t>
  </si>
  <si>
    <t>Kontroller EIGRP i alle fire VRF-er.</t>
  </si>
  <si>
    <t>show ip eigrp vrf MGMT neighbors
show ip eigrp vrf INET neighbors
show ip eigrp vrf UNET neighbors
show ip eigrp vrf PA neighbors</t>
  </si>
  <si>
    <t>Forventede hub/spoke EIGRP naboer er etablert.</t>
  </si>
  <si>
    <t>NOM-029</t>
  </si>
  <si>
    <t>EIGRP er etablert</t>
  </si>
  <si>
    <t>Remote MGMT LAN-prefixer læres via DMVPN/EIGRP.</t>
  </si>
  <si>
    <t>NOM-030</t>
  </si>
  <si>
    <t>INET routes</t>
  </si>
  <si>
    <t>Kontroller remote INET LAN-ruter og default.</t>
  </si>
  <si>
    <t>show ip route vrf INET eigrp
show ip route vrf INET 0.0.0.0</t>
  </si>
  <si>
    <t>Remote INET-ruter og forventet default fra hub finnes.</t>
  </si>
  <si>
    <t>NOM-031</t>
  </si>
  <si>
    <t>Remote UNET LAN-prefixer læres via DMVPN/EIGRP.</t>
  </si>
  <si>
    <t>NOM-032</t>
  </si>
  <si>
    <t>Remote PA LAN-prefixer læres via DMVPN/EIGRP.</t>
  </si>
  <si>
    <t>NOM-033</t>
  </si>
  <si>
    <t>Ingen rekursjon</t>
  </si>
  <si>
    <t>Kontroller at globale tunnel-source /32 nås via OSPF og ikke via tunnelen.</t>
  </si>
  <si>
    <t>show ip route 2.2.2.31
show ip route 2.2.2.41</t>
  </si>
  <si>
    <t>Source-loopbackrutene peker mot global OSPF-underlay, ikke Tunnel30/Tunnel40.</t>
  </si>
  <si>
    <t>NOM-034</t>
  </si>
  <si>
    <t>Forny DHCP i hvert VLAN/site.</t>
  </si>
  <si>
    <t>Korrekt adresse/gateway tildeles i riktig VRF/subnett.</t>
  </si>
  <si>
    <t>NOM-035</t>
  </si>
  <si>
    <t>INET DHCP fungerer</t>
  </si>
  <si>
    <t>Test DNS fra INET-klient.</t>
  </si>
  <si>
    <t>NOM-036</t>
  </si>
  <si>
    <t>INET default</t>
  </si>
  <si>
    <t>EIGRP INET er oppe</t>
  </si>
  <si>
    <t>Kontroller at hub redistribuerer default til INET overlay.</t>
  </si>
  <si>
    <t>show ip route vrf INET 0.0.0.0
show ip eigrp vrf INET topology</t>
  </si>
  <si>
    <t>Spokes har default route mot hub i INET VRF.</t>
  </si>
  <si>
    <t>NOM-037</t>
  </si>
  <si>
    <t>Hub har ISP/VLAN200</t>
  </si>
  <si>
    <t>Test internettrafikk fra INET-klient på spoke.</t>
  </si>
  <si>
    <t>Klient: ping/HTTP ekstern ressurs
RS1: show ip nat translations</t>
  </si>
  <si>
    <t>Spoke INET går via hub og NAT; ekstern ressurs nås.</t>
  </si>
  <si>
    <t>NOM-038</t>
  </si>
  <si>
    <t>SSH fra MGMT og prøv fra ikke-MGMT.</t>
  </si>
  <si>
    <t>MGMT tillates; ikke-MGMT blokkeres av VTY ACL.</t>
  </si>
  <si>
    <t>NOM-039</t>
  </si>
  <si>
    <t>Test sentral login.</t>
  </si>
  <si>
    <t>TACACS-autentisering lykkes.</t>
  </si>
  <si>
    <t>NOM-040</t>
  </si>
  <si>
    <t>Lokal admin finnes</t>
  </si>
  <si>
    <t>Gjør TACACS utilgjengelig og test lokal login.</t>
  </si>
  <si>
    <t>Stopp/isolér TACACS-server og test login</t>
  </si>
  <si>
    <t>Lokal fallback fungerer ved serverfeil.</t>
  </si>
  <si>
    <t>NOM-041</t>
  </si>
  <si>
    <t>Syslog-server kjører</t>
  </si>
  <si>
    <t>Generer hendelse og kontroller sentral syslog.</t>
  </si>
  <si>
    <t>show logging
Server: kontroller logg</t>
  </si>
  <si>
    <t>Hendelse mottas med riktig hostname/timestamp.</t>
  </si>
  <si>
    <t>NOM-042</t>
  </si>
  <si>
    <t>Hub NTP master er oppe</t>
  </si>
  <si>
    <t>Kontroller NTP.</t>
  </si>
  <si>
    <t>Forventet peer er valgt og tid er synkronisert.</t>
  </si>
  <si>
    <t>NOM-043</t>
  </si>
  <si>
    <t>Test rogue DHCP fra untrusted klientport.</t>
  </si>
  <si>
    <t>show ip dhcp snooping
Generer DHCP discover/offer</t>
  </si>
  <si>
    <t>Rogue DHCP offer blokkeres.</t>
  </si>
  <si>
    <t>NOM-044</t>
  </si>
  <si>
    <t>Test ARP spoof fra vanlig klientport.</t>
  </si>
  <si>
    <t>Ugyldig ARP blokkeres.</t>
  </si>
  <si>
    <t>NOM-045</t>
  </si>
  <si>
    <t>MGMT-server er statisk</t>
  </si>
  <si>
    <t>Test 10.11.0.10 via dedikert trusted port.</t>
  </si>
  <si>
    <t>Statisk management-host fungerer uten DAI-drop.</t>
  </si>
  <si>
    <t>NOM-046</t>
  </si>
  <si>
    <t>Overskrid tillatt MAC-antall.</t>
  </si>
  <si>
    <t>Violation registreres og restrict-policy håndheves.</t>
  </si>
  <si>
    <t>NOM-047</t>
  </si>
  <si>
    <t>PortFast/BPDU Guard er aktiv</t>
  </si>
  <si>
    <t>Send BPDU på access-port.</t>
  </si>
  <si>
    <t>Porten beskyttes/err-disables iht. policy.</t>
  </si>
  <si>
    <t>NOM-048</t>
  </si>
  <si>
    <t>Flere VLAN-klienter er oppe</t>
  </si>
  <si>
    <t>Test forbudt inter-VRF/VLAN-trafikk.</t>
  </si>
  <si>
    <t>Ping/SSH mellom soner som ikke skal kommunisere</t>
  </si>
  <si>
    <t>Forbudt trafikk stoppes; nødvendige tjenester fungerer.</t>
  </si>
  <si>
    <t>NOM-049</t>
  </si>
  <si>
    <t>Sensor/SPAN-port er konfigurert</t>
  </si>
  <si>
    <t>Generer trafikk og kontroller speiling.</t>
  </si>
  <si>
    <t>show monitor session 1
Sensor: kontroller pakker</t>
  </si>
  <si>
    <t>Sensor mottar speilet trafikk.</t>
  </si>
  <si>
    <t>NOM-050</t>
  </si>
  <si>
    <t>Generer trafikk i VLAN10/20/30/40 og kontroller klassene.</t>
  </si>
  <si>
    <t>MGMT→AF21, INET→AF11, UNET→AF42, PA→AF41 og counters øker.</t>
  </si>
  <si>
    <t>NOM-051</t>
  </si>
  <si>
    <t>Trafikkgenerator er tilgjengelig</t>
  </si>
  <si>
    <t>Belast WAN-link og observer QoS under congestion.</t>
  </si>
  <si>
    <t>Klassene får forventet relativ båndbredde; ingen uventede drop.</t>
  </si>
  <si>
    <t>NOM-052</t>
  </si>
  <si>
    <t>Port-channel har flere medlemmer</t>
  </si>
  <si>
    <t>Koble fra én EtherChannel-link.</t>
  </si>
  <si>
    <t>Port-channel fortsetter over gjenværende medlem.</t>
  </si>
  <si>
    <t>NOM-053</t>
  </si>
  <si>
    <t>Restart en spoke-router.</t>
  </si>
  <si>
    <t>reload
show ip ospf neighbor
show dmvpn
show ip eigrp vrf UNET neighbors</t>
  </si>
  <si>
    <t>OSPF/DMVPN/IPsec/EIGRP etableres automatisk igjen.</t>
  </si>
  <si>
    <t>NOM-054</t>
  </si>
  <si>
    <t>UNET/PA IPsec er oppe</t>
  </si>
  <si>
    <t>Clear IKE/IPsec og generer ny trafikk.</t>
  </si>
  <si>
    <t>SA-er etableres automatisk på nytt.</t>
  </si>
  <si>
    <t>NOM-055</t>
  </si>
  <si>
    <t>Restart switch og kontroller sentrale funksjoner.</t>
  </si>
  <si>
    <t>Konfigurasjonen bevares og tjenesten gjenopprettes.</t>
  </si>
  <si>
    <t>NOM-056</t>
  </si>
  <si>
    <t>Stopp og start hele laben.</t>
  </si>
  <si>
    <t>Cold boot hele topologien og kjør nøkkelsjekker</t>
  </si>
  <si>
    <t>Nettverket kommer tilbake uten manuell retting.</t>
  </si>
  <si>
    <t>NOM-057</t>
  </si>
  <si>
    <t>Kontroller at alle 'Må bestå = Ja' er Bestått eller Ikke relevant.</t>
  </si>
  <si>
    <t>Ingen obligatoriske tester står åpne eller feilet. Status blir PILOTKLAR.</t>
  </si>
  <si>
    <t>Formål: verifisere at NO-MPLS-varianten er pilot-/deployment-klare for rask etablering. Dette er ikke en påstand om full produksjonsmodenhet. Alle rader merket «Må bestå = Ja» bør være Bestått eller Ikke relevant før løsningen vurderes som pilotklar.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</si>
</sst>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9" fontId="0" fillId="0" borderId="0" xfId="0" applyNumberFormat="1"/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0" fillId="0" borderId="15" xfId="0" applyNumberFormat="1" applyBorder="1"/>
    <xf numFmtId="0" fontId="0" fillId="0" borderId="16" xfId="0" applyBorder="1"/>
    <xf numFmtId="0" fontId="1" fillId="4" borderId="1" xfId="0" applyFont="1" applyFill="1" applyBorder="1"/>
    <xf numFmtId="0" fontId="1" fillId="4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bgColor rgb="FFE7E6E6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</font>
      <fill>
        <patternFill patternType="solid">
          <bgColor rgb="FFD9EAF7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nb-NO"/>
              <a:t>Teststatus per variant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NO-MPLS</c:v>
          </c:tx>
          <c:invertIfNegative val="1"/>
          <c:cat>
            <c:strRef>
              <c:f>Oversikt!$A$12:$A$17</c:f>
              <c:strCache>
                <c:ptCount val="6"/>
                <c:pt idx="0">
                  <c:v>Ikke startet</c:v>
                </c:pt>
                <c:pt idx="1">
                  <c:v>Pågår</c:v>
                </c:pt>
                <c:pt idx="2">
                  <c:v>Bestått</c:v>
                </c:pt>
                <c:pt idx="3">
                  <c:v>Feilet</c:v>
                </c:pt>
                <c:pt idx="4">
                  <c:v>Blokkert</c:v>
                </c:pt>
                <c:pt idx="5">
                  <c:v>Ikke relevant</c:v>
                </c:pt>
              </c:strCache>
            </c:strRef>
          </c:cat>
          <c:val>
            <c:numRef>
              <c:f>Oversikt!$B$12:$B$17</c:f>
              <c:numCache>
                <c:formatCode>General</c:formatCode>
                <c:ptCount val="6"/>
                <c:pt idx="0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F-405E-9861-1356CB8A2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MPLS</c:v>
                </c:tx>
                <c:invertIfNegative val="1"/>
                <c:cat>
                  <c:strRef>
                    <c:extLst>
                      <c:ext uri="{02D57815-91ED-43cb-92C2-25804820EDAC}">
                        <c15:formulaRef>
                          <c15:sqref>Oversikt!$A$12:$A$17</c15:sqref>
                        </c15:formulaRef>
                      </c:ext>
                    </c:extLst>
                    <c:strCache>
                      <c:ptCount val="6"/>
                      <c:pt idx="0">
                        <c:v>Ikke startet</c:v>
                      </c:pt>
                      <c:pt idx="1">
                        <c:v>Pågår</c:v>
                      </c:pt>
                      <c:pt idx="2">
                        <c:v>Bestått</c:v>
                      </c:pt>
                      <c:pt idx="3">
                        <c:v>Feilet</c:v>
                      </c:pt>
                      <c:pt idx="4">
                        <c:v>Blokkert</c:v>
                      </c:pt>
                      <c:pt idx="5">
                        <c:v>Ikke relevant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Oversikt!#REF!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08F-405E-9861-1356CB8A250D}"/>
                  </c:ext>
                </c:extLst>
              </c15:ser>
            </c15:filteredBarSeries>
          </c:ext>
        </c:extLst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MPLSTestTable" displayName="NoMPLSTestTable" ref="A1:N58" totalsRowShown="0">
  <tableColumns count="14">
    <tableColumn id="1" xr3:uid="{00000000-0010-0000-0100-000001000000}" name="Test-ID"/>
    <tableColumn id="2" xr3:uid="{00000000-0010-0000-0100-000002000000}" name="Fase"/>
    <tableColumn id="3" xr3:uid="{00000000-0010-0000-0100-000003000000}" name="Område"/>
    <tableColumn id="4" xr3:uid="{00000000-0010-0000-0100-000004000000}" name="Prioritet"/>
    <tableColumn id="5" xr3:uid="{00000000-0010-0000-0100-000005000000}" name="Må bestå"/>
    <tableColumn id="6" xr3:uid="{00000000-0010-0000-0100-000006000000}" name="Forutsetning"/>
    <tableColumn id="7" xr3:uid="{00000000-0010-0000-0100-000007000000}" name="Test / handling"/>
    <tableColumn id="8" xr3:uid="{00000000-0010-0000-0100-000008000000}" name="Kommando(er) / handling"/>
    <tableColumn id="9" xr3:uid="{00000000-0010-0000-0100-000009000000}" name="Forventet resultat"/>
    <tableColumn id="10" xr3:uid="{00000000-0010-0000-0100-00000A000000}" name="Faktisk resultat"/>
    <tableColumn id="11" xr3:uid="{00000000-0010-0000-0100-00000B000000}" name="Status"/>
    <tableColumn id="12" xr3:uid="{00000000-0010-0000-0100-00000C000000}" name="Bevis / kommentar"/>
    <tableColumn id="13" xr3:uid="{00000000-0010-0000-0100-00000D000000}" name="Ansvarlig"/>
    <tableColumn id="14" xr3:uid="{00000000-0010-0000-0100-00000E000000}" name="D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E11" sqref="E11:H17"/>
    </sheetView>
  </sheetViews>
  <sheetFormatPr defaultRowHeight="14.25"/>
  <cols>
    <col min="1" max="1" width="18" customWidth="1"/>
    <col min="2" max="7" width="14" customWidth="1"/>
    <col min="8" max="8" width="18" customWidth="1"/>
  </cols>
  <sheetData>
    <row r="1" spans="1:8">
      <c r="A1" s="26" t="s">
        <v>0</v>
      </c>
      <c r="B1" s="26"/>
      <c r="C1" s="26"/>
      <c r="D1" s="26"/>
      <c r="E1" s="26"/>
      <c r="F1" s="26"/>
      <c r="G1" s="26"/>
      <c r="H1" s="26"/>
    </row>
    <row r="2" spans="1:8">
      <c r="A2" s="26"/>
      <c r="B2" s="26"/>
      <c r="C2" s="26"/>
      <c r="D2" s="26"/>
      <c r="E2" s="26"/>
      <c r="F2" s="26"/>
      <c r="G2" s="26"/>
      <c r="H2" s="26"/>
    </row>
    <row r="3" spans="1:8">
      <c r="A3" s="27" t="s">
        <v>373</v>
      </c>
      <c r="B3" s="27"/>
      <c r="C3" s="27"/>
      <c r="D3" s="27"/>
      <c r="E3" s="27"/>
      <c r="F3" s="27"/>
      <c r="G3" s="27"/>
      <c r="H3" s="27"/>
    </row>
    <row r="4" spans="1:8">
      <c r="A4" s="27"/>
      <c r="B4" s="27"/>
      <c r="C4" s="27"/>
      <c r="D4" s="27"/>
      <c r="E4" s="27"/>
      <c r="F4" s="27"/>
      <c r="G4" s="27"/>
      <c r="H4" s="27"/>
    </row>
    <row r="6" spans="1:8" ht="15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3" t="s">
        <v>8</v>
      </c>
    </row>
    <row r="7" spans="1:8">
      <c r="A7" s="14" t="s">
        <v>9</v>
      </c>
      <c r="B7">
        <f>COUNTA('NO-MPLS test'!A2:A58)</f>
        <v>57</v>
      </c>
      <c r="C7">
        <f>COUNTIF('NO-MPLS test'!K2:K58,"Bestått")</f>
        <v>0</v>
      </c>
      <c r="D7">
        <f>COUNTIF('NO-MPLS test'!K2:K58,"Feilet")</f>
        <v>0</v>
      </c>
      <c r="E7">
        <f>COUNTIF('NO-MPLS test'!K2:K58,"Blokkert")</f>
        <v>0</v>
      </c>
      <c r="F7">
        <f>COUNTIF('NO-MPLS test'!K2:K58,"Ikke startet")+COUNTIF('NO-MPLS test'!K2:K58,"Pågår")</f>
        <v>57</v>
      </c>
      <c r="G7" s="10">
        <f>IF((B7-COUNTIF('NO-MPLS test'!K2:K58,"Ikke relevant"))=0,0,C7/(B7-COUNTIF('NO-MPLS test'!K2:K58,"Ikke relevant")))</f>
        <v>0</v>
      </c>
      <c r="H7" s="15" t="str">
        <f>IF(COUNTIFS('NO-MPLS test'!E2:E58,"Ja",'NO-MPLS test'!K2:K58,"&lt;&gt;Bestått",'NO-MPLS test'!K2:K58,"&lt;&gt;Ikke relevant")=0,"PILOTKLAR","IKKE KLAR")</f>
        <v>IKKE KLAR</v>
      </c>
    </row>
    <row r="8" spans="1:8">
      <c r="A8" s="16" t="s">
        <v>10</v>
      </c>
      <c r="B8" s="17">
        <f>SUM(B7:B7)</f>
        <v>57</v>
      </c>
      <c r="C8" s="17">
        <f>SUM(C7:C7)</f>
        <v>0</v>
      </c>
      <c r="D8" s="17">
        <f>SUM(D7:D7)</f>
        <v>0</v>
      </c>
      <c r="E8" s="17">
        <f>SUM(E7:E7)</f>
        <v>0</v>
      </c>
      <c r="F8" s="17">
        <f>SUM(F7:F7)</f>
        <v>57</v>
      </c>
      <c r="G8" s="18">
        <f>IF(B8=0,0,C8/B8)</f>
        <v>0</v>
      </c>
      <c r="H8" s="19" t="e">
        <f>IF(AND(#REF!="PILOTKLAR",H7="PILOTKLAR"),"BEGGE KLARE","TESTING GJENSTÅR")</f>
        <v>#REF!</v>
      </c>
    </row>
    <row r="11" spans="1:8" ht="15">
      <c r="A11" s="20" t="s">
        <v>11</v>
      </c>
      <c r="B11" s="21" t="s">
        <v>9</v>
      </c>
      <c r="E11" s="28" t="s">
        <v>12</v>
      </c>
      <c r="F11" s="28"/>
      <c r="G11" s="28"/>
      <c r="H11" s="28"/>
    </row>
    <row r="12" spans="1:8">
      <c r="A12" s="22" t="s">
        <v>13</v>
      </c>
      <c r="B12" s="23">
        <f>COUNTIF('NO-MPLS test'!K2:K58,A12)</f>
        <v>57</v>
      </c>
      <c r="E12" s="28"/>
      <c r="F12" s="28"/>
      <c r="G12" s="28"/>
      <c r="H12" s="28"/>
    </row>
    <row r="13" spans="1:8">
      <c r="A13" s="22" t="s">
        <v>14</v>
      </c>
      <c r="B13" s="23">
        <f>COUNTIF('NO-MPLS test'!K2:K58,A13)</f>
        <v>0</v>
      </c>
      <c r="E13" s="28"/>
      <c r="F13" s="28"/>
      <c r="G13" s="28"/>
      <c r="H13" s="28"/>
    </row>
    <row r="14" spans="1:8">
      <c r="A14" s="22" t="s">
        <v>3</v>
      </c>
      <c r="B14" s="23">
        <f>COUNTIF('NO-MPLS test'!K2:K58,A14)</f>
        <v>0</v>
      </c>
      <c r="E14" s="28"/>
      <c r="F14" s="28"/>
      <c r="G14" s="28"/>
      <c r="H14" s="28"/>
    </row>
    <row r="15" spans="1:8">
      <c r="A15" s="22" t="s">
        <v>4</v>
      </c>
      <c r="B15" s="23">
        <f>COUNTIF('NO-MPLS test'!K2:K58,A15)</f>
        <v>0</v>
      </c>
      <c r="E15" s="28"/>
      <c r="F15" s="28"/>
      <c r="G15" s="28"/>
      <c r="H15" s="28"/>
    </row>
    <row r="16" spans="1:8">
      <c r="A16" s="22" t="s">
        <v>5</v>
      </c>
      <c r="B16" s="23">
        <f>COUNTIF('NO-MPLS test'!K2:K58,A16)</f>
        <v>0</v>
      </c>
      <c r="E16" s="28"/>
      <c r="F16" s="28"/>
      <c r="G16" s="28"/>
      <c r="H16" s="28"/>
    </row>
    <row r="17" spans="1:8" ht="190.5" customHeight="1">
      <c r="A17" s="24" t="s">
        <v>15</v>
      </c>
      <c r="B17" s="25">
        <f>COUNTIF('NO-MPLS test'!K2:K58,A17)</f>
        <v>0</v>
      </c>
      <c r="E17" s="28"/>
      <c r="F17" s="28"/>
      <c r="G17" s="28"/>
      <c r="H17" s="28"/>
    </row>
  </sheetData>
  <mergeCells count="3">
    <mergeCell ref="A1:H2"/>
    <mergeCell ref="A3:H4"/>
    <mergeCell ref="E11:H17"/>
  </mergeCells>
  <conditionalFormatting sqref="H7:H8">
    <cfRule type="expression" dxfId="7" priority="1">
      <formula>H7="PILOTKLAR"</formula>
    </cfRule>
    <cfRule type="expression" dxfId="6" priority="2">
      <formula>OR(H7="IKKE KLAR",H7="TESTING GJENSTÅR")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"/>
  <sheetViews>
    <sheetView tabSelected="1" workbookViewId="0"/>
  </sheetViews>
  <sheetFormatPr defaultRowHeight="14.25"/>
  <cols>
    <col min="1" max="1" width="12" customWidth="1"/>
    <col min="2" max="2" width="18" customWidth="1"/>
    <col min="3" max="3" width="20" customWidth="1"/>
    <col min="4" max="5" width="11" customWidth="1"/>
    <col min="6" max="6" width="28" customWidth="1"/>
    <col min="7" max="7" width="34" customWidth="1"/>
    <col min="8" max="8" width="38" customWidth="1"/>
    <col min="9" max="9" width="34" customWidth="1"/>
    <col min="10" max="10" width="30" customWidth="1"/>
    <col min="11" max="11" width="15" customWidth="1"/>
    <col min="12" max="12" width="30" customWidth="1"/>
    <col min="13" max="13" width="16" customWidth="1"/>
    <col min="14" max="14" width="13" customWidth="1"/>
  </cols>
  <sheetData>
    <row r="1" spans="1:14" ht="33.950000000000003" customHeight="1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11</v>
      </c>
      <c r="L1" s="3" t="s">
        <v>26</v>
      </c>
      <c r="M1" s="3" t="s">
        <v>27</v>
      </c>
      <c r="N1" s="4" t="s">
        <v>28</v>
      </c>
    </row>
    <row r="2" spans="1:14" ht="28.5">
      <c r="A2" s="5" t="s">
        <v>155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156</v>
      </c>
      <c r="H2" s="1" t="s">
        <v>34</v>
      </c>
      <c r="I2" s="1" t="s">
        <v>157</v>
      </c>
      <c r="J2" s="1"/>
      <c r="K2" s="1" t="s">
        <v>13</v>
      </c>
      <c r="L2" s="1"/>
      <c r="M2" s="1"/>
      <c r="N2" s="6"/>
    </row>
    <row r="3" spans="1:14" ht="42.75">
      <c r="A3" s="5" t="s">
        <v>158</v>
      </c>
      <c r="B3" s="1" t="s">
        <v>29</v>
      </c>
      <c r="C3" s="1" t="s">
        <v>35</v>
      </c>
      <c r="D3" s="1" t="s">
        <v>31</v>
      </c>
      <c r="E3" s="1" t="s">
        <v>32</v>
      </c>
      <c r="F3" s="1" t="s">
        <v>36</v>
      </c>
      <c r="G3" s="1" t="s">
        <v>159</v>
      </c>
      <c r="H3" s="1" t="s">
        <v>37</v>
      </c>
      <c r="I3" s="1" t="s">
        <v>160</v>
      </c>
      <c r="J3" s="1"/>
      <c r="K3" s="1" t="s">
        <v>13</v>
      </c>
      <c r="L3" s="1"/>
      <c r="M3" s="1"/>
      <c r="N3" s="6"/>
    </row>
    <row r="4" spans="1:14" ht="28.5">
      <c r="A4" s="5" t="s">
        <v>161</v>
      </c>
      <c r="B4" s="1" t="s">
        <v>29</v>
      </c>
      <c r="C4" s="1" t="s">
        <v>38</v>
      </c>
      <c r="D4" s="1" t="s">
        <v>31</v>
      </c>
      <c r="E4" s="1" t="s">
        <v>32</v>
      </c>
      <c r="F4" s="1" t="s">
        <v>39</v>
      </c>
      <c r="G4" s="1" t="s">
        <v>162</v>
      </c>
      <c r="H4" s="1" t="s">
        <v>40</v>
      </c>
      <c r="I4" s="1" t="s">
        <v>163</v>
      </c>
      <c r="J4" s="1"/>
      <c r="K4" s="1" t="s">
        <v>13</v>
      </c>
      <c r="L4" s="1"/>
      <c r="M4" s="1"/>
      <c r="N4" s="6"/>
    </row>
    <row r="5" spans="1:14" ht="28.5">
      <c r="A5" s="5" t="s">
        <v>164</v>
      </c>
      <c r="B5" s="1" t="s">
        <v>29</v>
      </c>
      <c r="C5" s="1" t="s">
        <v>41</v>
      </c>
      <c r="D5" s="1" t="s">
        <v>31</v>
      </c>
      <c r="E5" s="1" t="s">
        <v>32</v>
      </c>
      <c r="F5" s="1" t="s">
        <v>165</v>
      </c>
      <c r="G5" s="1" t="s">
        <v>166</v>
      </c>
      <c r="H5" s="1" t="s">
        <v>42</v>
      </c>
      <c r="I5" s="1" t="s">
        <v>167</v>
      </c>
      <c r="J5" s="1"/>
      <c r="K5" s="1" t="s">
        <v>13</v>
      </c>
      <c r="L5" s="1"/>
      <c r="M5" s="1"/>
      <c r="N5" s="6"/>
    </row>
    <row r="6" spans="1:14" ht="28.5">
      <c r="A6" s="5" t="s">
        <v>168</v>
      </c>
      <c r="B6" s="1" t="s">
        <v>29</v>
      </c>
      <c r="C6" s="1" t="s">
        <v>43</v>
      </c>
      <c r="D6" s="1" t="s">
        <v>44</v>
      </c>
      <c r="E6" s="1" t="s">
        <v>32</v>
      </c>
      <c r="F6" s="1" t="s">
        <v>45</v>
      </c>
      <c r="G6" s="1" t="s">
        <v>169</v>
      </c>
      <c r="H6" s="1" t="s">
        <v>46</v>
      </c>
      <c r="I6" s="1" t="s">
        <v>170</v>
      </c>
      <c r="J6" s="1"/>
      <c r="K6" s="1" t="s">
        <v>13</v>
      </c>
      <c r="L6" s="1"/>
      <c r="M6" s="1"/>
      <c r="N6" s="6"/>
    </row>
    <row r="7" spans="1:14" ht="15">
      <c r="A7" s="5" t="s">
        <v>171</v>
      </c>
      <c r="B7" s="1" t="s">
        <v>29</v>
      </c>
      <c r="C7" s="1" t="s">
        <v>47</v>
      </c>
      <c r="D7" s="1" t="s">
        <v>31</v>
      </c>
      <c r="E7" s="1" t="s">
        <v>32</v>
      </c>
      <c r="F7" s="1" t="s">
        <v>172</v>
      </c>
      <c r="G7" s="1" t="s">
        <v>173</v>
      </c>
      <c r="H7" s="1" t="s">
        <v>48</v>
      </c>
      <c r="I7" s="1" t="s">
        <v>174</v>
      </c>
      <c r="J7" s="1"/>
      <c r="K7" s="1" t="s">
        <v>13</v>
      </c>
      <c r="L7" s="1"/>
      <c r="M7" s="1"/>
      <c r="N7" s="6"/>
    </row>
    <row r="8" spans="1:14" ht="28.5">
      <c r="A8" s="5" t="s">
        <v>175</v>
      </c>
      <c r="B8" s="1" t="s">
        <v>29</v>
      </c>
      <c r="C8" s="1" t="s">
        <v>49</v>
      </c>
      <c r="D8" s="1" t="s">
        <v>44</v>
      </c>
      <c r="E8" s="1" t="s">
        <v>50</v>
      </c>
      <c r="F8" s="1" t="s">
        <v>51</v>
      </c>
      <c r="G8" s="1" t="s">
        <v>52</v>
      </c>
      <c r="H8" s="1" t="s">
        <v>53</v>
      </c>
      <c r="I8" s="1" t="s">
        <v>176</v>
      </c>
      <c r="J8" s="1"/>
      <c r="K8" s="1" t="s">
        <v>13</v>
      </c>
      <c r="L8" s="1"/>
      <c r="M8" s="1"/>
      <c r="N8" s="6"/>
    </row>
    <row r="9" spans="1:14" ht="28.5">
      <c r="A9" s="5" t="s">
        <v>177</v>
      </c>
      <c r="B9" s="1" t="s">
        <v>29</v>
      </c>
      <c r="C9" s="1" t="s">
        <v>54</v>
      </c>
      <c r="D9" s="1" t="s">
        <v>44</v>
      </c>
      <c r="E9" s="1" t="s">
        <v>50</v>
      </c>
      <c r="F9" s="1" t="s">
        <v>55</v>
      </c>
      <c r="G9" s="1" t="s">
        <v>178</v>
      </c>
      <c r="H9" s="1" t="s">
        <v>56</v>
      </c>
      <c r="I9" s="1" t="s">
        <v>179</v>
      </c>
      <c r="J9" s="1"/>
      <c r="K9" s="1" t="s">
        <v>13</v>
      </c>
      <c r="L9" s="1"/>
      <c r="M9" s="1"/>
      <c r="N9" s="6"/>
    </row>
    <row r="10" spans="1:14" ht="15">
      <c r="A10" s="5" t="s">
        <v>180</v>
      </c>
      <c r="B10" s="1" t="s">
        <v>57</v>
      </c>
      <c r="C10" s="1" t="s">
        <v>58</v>
      </c>
      <c r="D10" s="1" t="s">
        <v>31</v>
      </c>
      <c r="E10" s="1" t="s">
        <v>32</v>
      </c>
      <c r="F10" s="1" t="s">
        <v>181</v>
      </c>
      <c r="G10" s="1" t="s">
        <v>182</v>
      </c>
      <c r="H10" s="1" t="s">
        <v>59</v>
      </c>
      <c r="I10" s="1" t="s">
        <v>183</v>
      </c>
      <c r="J10" s="1"/>
      <c r="K10" s="1" t="s">
        <v>13</v>
      </c>
      <c r="L10" s="1"/>
      <c r="M10" s="1"/>
      <c r="N10" s="6"/>
    </row>
    <row r="11" spans="1:14" ht="28.5">
      <c r="A11" s="5" t="s">
        <v>184</v>
      </c>
      <c r="B11" s="1" t="s">
        <v>57</v>
      </c>
      <c r="C11" s="1" t="s">
        <v>185</v>
      </c>
      <c r="D11" s="1" t="s">
        <v>31</v>
      </c>
      <c r="E11" s="1" t="s">
        <v>32</v>
      </c>
      <c r="F11" s="1" t="s">
        <v>60</v>
      </c>
      <c r="G11" s="1" t="s">
        <v>186</v>
      </c>
      <c r="H11" s="1" t="s">
        <v>187</v>
      </c>
      <c r="I11" s="1" t="s">
        <v>188</v>
      </c>
      <c r="J11" s="1"/>
      <c r="K11" s="1" t="s">
        <v>13</v>
      </c>
      <c r="L11" s="1"/>
      <c r="M11" s="1"/>
      <c r="N11" s="6"/>
    </row>
    <row r="12" spans="1:14" ht="42.75">
      <c r="A12" s="5" t="s">
        <v>189</v>
      </c>
      <c r="B12" s="1" t="s">
        <v>57</v>
      </c>
      <c r="C12" s="1" t="s">
        <v>190</v>
      </c>
      <c r="D12" s="1" t="s">
        <v>31</v>
      </c>
      <c r="E12" s="1" t="s">
        <v>32</v>
      </c>
      <c r="F12" s="1" t="s">
        <v>191</v>
      </c>
      <c r="G12" s="1" t="s">
        <v>192</v>
      </c>
      <c r="H12" s="1" t="s">
        <v>193</v>
      </c>
      <c r="I12" s="1" t="s">
        <v>194</v>
      </c>
      <c r="J12" s="1"/>
      <c r="K12" s="1" t="s">
        <v>13</v>
      </c>
      <c r="L12" s="1"/>
      <c r="M12" s="1"/>
      <c r="N12" s="6"/>
    </row>
    <row r="13" spans="1:14" ht="28.5">
      <c r="A13" s="5" t="s">
        <v>195</v>
      </c>
      <c r="B13" s="1" t="s">
        <v>57</v>
      </c>
      <c r="C13" s="1" t="s">
        <v>61</v>
      </c>
      <c r="D13" s="1" t="s">
        <v>31</v>
      </c>
      <c r="E13" s="1" t="s">
        <v>32</v>
      </c>
      <c r="F13" s="1" t="s">
        <v>196</v>
      </c>
      <c r="G13" s="1" t="s">
        <v>197</v>
      </c>
      <c r="H13" s="1" t="s">
        <v>198</v>
      </c>
      <c r="I13" s="1" t="s">
        <v>199</v>
      </c>
      <c r="J13" s="1"/>
      <c r="K13" s="1" t="s">
        <v>13</v>
      </c>
      <c r="L13" s="1"/>
      <c r="M13" s="1"/>
      <c r="N13" s="6"/>
    </row>
    <row r="14" spans="1:14" ht="28.5">
      <c r="A14" s="5" t="s">
        <v>200</v>
      </c>
      <c r="B14" s="1" t="s">
        <v>57</v>
      </c>
      <c r="C14" s="1" t="s">
        <v>62</v>
      </c>
      <c r="D14" s="1" t="s">
        <v>31</v>
      </c>
      <c r="E14" s="1" t="s">
        <v>32</v>
      </c>
      <c r="F14" s="1" t="s">
        <v>196</v>
      </c>
      <c r="G14" s="1" t="s">
        <v>201</v>
      </c>
      <c r="H14" s="1" t="s">
        <v>202</v>
      </c>
      <c r="I14" s="1" t="s">
        <v>203</v>
      </c>
      <c r="J14" s="1"/>
      <c r="K14" s="1" t="s">
        <v>13</v>
      </c>
      <c r="L14" s="1"/>
      <c r="M14" s="1"/>
      <c r="N14" s="6"/>
    </row>
    <row r="15" spans="1:14" ht="42.75">
      <c r="A15" s="5" t="s">
        <v>204</v>
      </c>
      <c r="B15" s="1" t="s">
        <v>57</v>
      </c>
      <c r="C15" s="1" t="s">
        <v>205</v>
      </c>
      <c r="D15" s="1" t="s">
        <v>44</v>
      </c>
      <c r="E15" s="1" t="s">
        <v>50</v>
      </c>
      <c r="F15" s="1" t="s">
        <v>206</v>
      </c>
      <c r="G15" s="1" t="s">
        <v>207</v>
      </c>
      <c r="H15" s="1" t="s">
        <v>208</v>
      </c>
      <c r="I15" s="1" t="s">
        <v>209</v>
      </c>
      <c r="J15" s="1"/>
      <c r="K15" s="1" t="s">
        <v>13</v>
      </c>
      <c r="L15" s="1"/>
      <c r="M15" s="1"/>
      <c r="N15" s="6"/>
    </row>
    <row r="16" spans="1:14" ht="57">
      <c r="A16" s="5" t="s">
        <v>210</v>
      </c>
      <c r="B16" s="1" t="s">
        <v>63</v>
      </c>
      <c r="C16" s="1" t="s">
        <v>64</v>
      </c>
      <c r="D16" s="1" t="s">
        <v>31</v>
      </c>
      <c r="E16" s="1" t="s">
        <v>32</v>
      </c>
      <c r="F16" s="1" t="s">
        <v>211</v>
      </c>
      <c r="G16" s="1" t="s">
        <v>212</v>
      </c>
      <c r="H16" s="1" t="s">
        <v>213</v>
      </c>
      <c r="I16" s="1" t="s">
        <v>214</v>
      </c>
      <c r="J16" s="1"/>
      <c r="K16" s="1" t="s">
        <v>13</v>
      </c>
      <c r="L16" s="1"/>
      <c r="M16" s="1"/>
      <c r="N16" s="6"/>
    </row>
    <row r="17" spans="1:14" ht="15">
      <c r="A17" s="5" t="s">
        <v>215</v>
      </c>
      <c r="B17" s="1" t="s">
        <v>63</v>
      </c>
      <c r="C17" s="1" t="s">
        <v>65</v>
      </c>
      <c r="D17" s="1" t="s">
        <v>31</v>
      </c>
      <c r="E17" s="1" t="s">
        <v>32</v>
      </c>
      <c r="F17" s="1" t="s">
        <v>216</v>
      </c>
      <c r="G17" s="1" t="s">
        <v>217</v>
      </c>
      <c r="H17" s="1" t="s">
        <v>66</v>
      </c>
      <c r="I17" s="1" t="s">
        <v>218</v>
      </c>
      <c r="J17" s="1"/>
      <c r="K17" s="1" t="s">
        <v>13</v>
      </c>
      <c r="L17" s="1"/>
      <c r="M17" s="1"/>
      <c r="N17" s="6"/>
    </row>
    <row r="18" spans="1:14" ht="28.5">
      <c r="A18" s="5" t="s">
        <v>219</v>
      </c>
      <c r="B18" s="1" t="s">
        <v>63</v>
      </c>
      <c r="C18" s="1" t="s">
        <v>67</v>
      </c>
      <c r="D18" s="1" t="s">
        <v>31</v>
      </c>
      <c r="E18" s="1" t="s">
        <v>32</v>
      </c>
      <c r="F18" s="1" t="s">
        <v>220</v>
      </c>
      <c r="G18" s="1" t="s">
        <v>221</v>
      </c>
      <c r="H18" s="1" t="s">
        <v>68</v>
      </c>
      <c r="I18" s="1" t="s">
        <v>222</v>
      </c>
      <c r="J18" s="1"/>
      <c r="K18" s="1" t="s">
        <v>13</v>
      </c>
      <c r="L18" s="1"/>
      <c r="M18" s="1"/>
      <c r="N18" s="6"/>
    </row>
    <row r="19" spans="1:14" ht="28.5">
      <c r="A19" s="5" t="s">
        <v>223</v>
      </c>
      <c r="B19" s="1" t="s">
        <v>63</v>
      </c>
      <c r="C19" s="1" t="s">
        <v>224</v>
      </c>
      <c r="D19" s="1" t="s">
        <v>31</v>
      </c>
      <c r="E19" s="1" t="s">
        <v>32</v>
      </c>
      <c r="F19" s="1" t="s">
        <v>69</v>
      </c>
      <c r="G19" s="1" t="s">
        <v>225</v>
      </c>
      <c r="H19" s="1" t="s">
        <v>70</v>
      </c>
      <c r="I19" s="1" t="s">
        <v>226</v>
      </c>
      <c r="J19" s="1"/>
      <c r="K19" s="1" t="s">
        <v>13</v>
      </c>
      <c r="L19" s="1"/>
      <c r="M19" s="1"/>
      <c r="N19" s="6"/>
    </row>
    <row r="20" spans="1:14" ht="28.5">
      <c r="A20" s="5" t="s">
        <v>227</v>
      </c>
      <c r="B20" s="1" t="s">
        <v>63</v>
      </c>
      <c r="C20" s="1" t="s">
        <v>71</v>
      </c>
      <c r="D20" s="1" t="s">
        <v>31</v>
      </c>
      <c r="E20" s="1" t="s">
        <v>32</v>
      </c>
      <c r="F20" s="1" t="s">
        <v>228</v>
      </c>
      <c r="G20" s="1" t="s">
        <v>229</v>
      </c>
      <c r="H20" s="1" t="s">
        <v>72</v>
      </c>
      <c r="I20" s="1" t="s">
        <v>230</v>
      </c>
      <c r="J20" s="1"/>
      <c r="K20" s="1" t="s">
        <v>13</v>
      </c>
      <c r="L20" s="1"/>
      <c r="M20" s="1"/>
      <c r="N20" s="6"/>
    </row>
    <row r="21" spans="1:14" ht="28.5">
      <c r="A21" s="5" t="s">
        <v>231</v>
      </c>
      <c r="B21" s="1" t="s">
        <v>63</v>
      </c>
      <c r="C21" s="1" t="s">
        <v>232</v>
      </c>
      <c r="D21" s="1" t="s">
        <v>31</v>
      </c>
      <c r="E21" s="1" t="s">
        <v>32</v>
      </c>
      <c r="F21" s="1" t="s">
        <v>228</v>
      </c>
      <c r="G21" s="1" t="s">
        <v>233</v>
      </c>
      <c r="H21" s="1" t="s">
        <v>234</v>
      </c>
      <c r="I21" s="1" t="s">
        <v>230</v>
      </c>
      <c r="J21" s="1"/>
      <c r="K21" s="1" t="s">
        <v>13</v>
      </c>
      <c r="L21" s="1"/>
      <c r="M21" s="1"/>
      <c r="N21" s="6"/>
    </row>
    <row r="22" spans="1:14" ht="28.5">
      <c r="A22" s="5" t="s">
        <v>235</v>
      </c>
      <c r="B22" s="1" t="s">
        <v>63</v>
      </c>
      <c r="C22" s="1" t="s">
        <v>73</v>
      </c>
      <c r="D22" s="1" t="s">
        <v>31</v>
      </c>
      <c r="E22" s="1" t="s">
        <v>32</v>
      </c>
      <c r="F22" s="1" t="s">
        <v>228</v>
      </c>
      <c r="G22" s="1" t="s">
        <v>236</v>
      </c>
      <c r="H22" s="1" t="s">
        <v>74</v>
      </c>
      <c r="I22" s="1" t="s">
        <v>230</v>
      </c>
      <c r="J22" s="1"/>
      <c r="K22" s="1" t="s">
        <v>13</v>
      </c>
      <c r="L22" s="1"/>
      <c r="M22" s="1"/>
      <c r="N22" s="6"/>
    </row>
    <row r="23" spans="1:14" ht="28.5">
      <c r="A23" s="5" t="s">
        <v>237</v>
      </c>
      <c r="B23" s="1" t="s">
        <v>63</v>
      </c>
      <c r="C23" s="1" t="s">
        <v>75</v>
      </c>
      <c r="D23" s="1" t="s">
        <v>31</v>
      </c>
      <c r="E23" s="1" t="s">
        <v>32</v>
      </c>
      <c r="F23" s="1" t="s">
        <v>228</v>
      </c>
      <c r="G23" s="1" t="s">
        <v>238</v>
      </c>
      <c r="H23" s="1" t="s">
        <v>76</v>
      </c>
      <c r="I23" s="1" t="s">
        <v>230</v>
      </c>
      <c r="J23" s="1"/>
      <c r="K23" s="1" t="s">
        <v>13</v>
      </c>
      <c r="L23" s="1"/>
      <c r="M23" s="1"/>
      <c r="N23" s="6"/>
    </row>
    <row r="24" spans="1:14" ht="28.5">
      <c r="A24" s="5" t="s">
        <v>239</v>
      </c>
      <c r="B24" s="1" t="s">
        <v>77</v>
      </c>
      <c r="C24" s="1" t="s">
        <v>78</v>
      </c>
      <c r="D24" s="1" t="s">
        <v>31</v>
      </c>
      <c r="E24" s="1" t="s">
        <v>32</v>
      </c>
      <c r="F24" s="1" t="s">
        <v>79</v>
      </c>
      <c r="G24" s="1" t="s">
        <v>240</v>
      </c>
      <c r="H24" s="1" t="s">
        <v>80</v>
      </c>
      <c r="I24" s="1" t="s">
        <v>241</v>
      </c>
      <c r="J24" s="1"/>
      <c r="K24" s="1" t="s">
        <v>13</v>
      </c>
      <c r="L24" s="1"/>
      <c r="M24" s="1"/>
      <c r="N24" s="6"/>
    </row>
    <row r="25" spans="1:14" ht="15">
      <c r="A25" s="5" t="s">
        <v>242</v>
      </c>
      <c r="B25" s="1" t="s">
        <v>77</v>
      </c>
      <c r="C25" s="1" t="s">
        <v>81</v>
      </c>
      <c r="D25" s="1" t="s">
        <v>31</v>
      </c>
      <c r="E25" s="1" t="s">
        <v>32</v>
      </c>
      <c r="F25" s="1" t="s">
        <v>243</v>
      </c>
      <c r="G25" s="1" t="s">
        <v>244</v>
      </c>
      <c r="H25" s="1" t="s">
        <v>82</v>
      </c>
      <c r="I25" s="1" t="s">
        <v>245</v>
      </c>
      <c r="J25" s="1"/>
      <c r="K25" s="1" t="s">
        <v>13</v>
      </c>
      <c r="L25" s="1"/>
      <c r="M25" s="1"/>
      <c r="N25" s="6"/>
    </row>
    <row r="26" spans="1:14" ht="28.5">
      <c r="A26" s="5" t="s">
        <v>246</v>
      </c>
      <c r="B26" s="1" t="s">
        <v>77</v>
      </c>
      <c r="C26" s="1" t="s">
        <v>83</v>
      </c>
      <c r="D26" s="1" t="s">
        <v>31</v>
      </c>
      <c r="E26" s="1" t="s">
        <v>32</v>
      </c>
      <c r="F26" s="1" t="s">
        <v>84</v>
      </c>
      <c r="G26" s="1" t="s">
        <v>247</v>
      </c>
      <c r="H26" s="1" t="s">
        <v>80</v>
      </c>
      <c r="I26" s="1" t="s">
        <v>248</v>
      </c>
      <c r="J26" s="1"/>
      <c r="K26" s="1" t="s">
        <v>13</v>
      </c>
      <c r="L26" s="1"/>
      <c r="M26" s="1"/>
      <c r="N26" s="6"/>
    </row>
    <row r="27" spans="1:14" ht="15">
      <c r="A27" s="5" t="s">
        <v>249</v>
      </c>
      <c r="B27" s="1" t="s">
        <v>77</v>
      </c>
      <c r="C27" s="1" t="s">
        <v>85</v>
      </c>
      <c r="D27" s="1" t="s">
        <v>31</v>
      </c>
      <c r="E27" s="1" t="s">
        <v>32</v>
      </c>
      <c r="F27" s="1" t="s">
        <v>243</v>
      </c>
      <c r="G27" s="1" t="s">
        <v>250</v>
      </c>
      <c r="H27" s="1" t="s">
        <v>82</v>
      </c>
      <c r="I27" s="1" t="s">
        <v>251</v>
      </c>
      <c r="J27" s="1"/>
      <c r="K27" s="1" t="s">
        <v>13</v>
      </c>
      <c r="L27" s="1"/>
      <c r="M27" s="1"/>
      <c r="N27" s="6"/>
    </row>
    <row r="28" spans="1:14" ht="42.75">
      <c r="A28" s="5" t="s">
        <v>252</v>
      </c>
      <c r="B28" s="1" t="s">
        <v>77</v>
      </c>
      <c r="C28" s="1" t="s">
        <v>253</v>
      </c>
      <c r="D28" s="1" t="s">
        <v>44</v>
      </c>
      <c r="E28" s="1" t="s">
        <v>50</v>
      </c>
      <c r="F28" s="1" t="s">
        <v>254</v>
      </c>
      <c r="G28" s="1" t="s">
        <v>255</v>
      </c>
      <c r="H28" s="1" t="s">
        <v>256</v>
      </c>
      <c r="I28" s="1" t="s">
        <v>257</v>
      </c>
      <c r="J28" s="1"/>
      <c r="K28" s="1" t="s">
        <v>13</v>
      </c>
      <c r="L28" s="1"/>
      <c r="M28" s="1"/>
      <c r="N28" s="6"/>
    </row>
    <row r="29" spans="1:14" ht="57">
      <c r="A29" s="5" t="s">
        <v>258</v>
      </c>
      <c r="B29" s="1" t="s">
        <v>86</v>
      </c>
      <c r="C29" s="1" t="s">
        <v>87</v>
      </c>
      <c r="D29" s="1" t="s">
        <v>31</v>
      </c>
      <c r="E29" s="1" t="s">
        <v>32</v>
      </c>
      <c r="F29" s="1" t="s">
        <v>88</v>
      </c>
      <c r="G29" s="1" t="s">
        <v>259</v>
      </c>
      <c r="H29" s="1" t="s">
        <v>260</v>
      </c>
      <c r="I29" s="1" t="s">
        <v>261</v>
      </c>
      <c r="J29" s="1"/>
      <c r="K29" s="1" t="s">
        <v>13</v>
      </c>
      <c r="L29" s="1"/>
      <c r="M29" s="1"/>
      <c r="N29" s="6"/>
    </row>
    <row r="30" spans="1:14" ht="28.5">
      <c r="A30" s="5" t="s">
        <v>262</v>
      </c>
      <c r="B30" s="1" t="s">
        <v>86</v>
      </c>
      <c r="C30" s="1" t="s">
        <v>89</v>
      </c>
      <c r="D30" s="1" t="s">
        <v>31</v>
      </c>
      <c r="E30" s="1" t="s">
        <v>32</v>
      </c>
      <c r="F30" s="1" t="s">
        <v>263</v>
      </c>
      <c r="G30" s="1" t="s">
        <v>90</v>
      </c>
      <c r="H30" s="1" t="s">
        <v>91</v>
      </c>
      <c r="I30" s="1" t="s">
        <v>264</v>
      </c>
      <c r="J30" s="1"/>
      <c r="K30" s="1" t="s">
        <v>13</v>
      </c>
      <c r="L30" s="1"/>
      <c r="M30" s="1"/>
      <c r="N30" s="6"/>
    </row>
    <row r="31" spans="1:14" ht="28.5">
      <c r="A31" s="5" t="s">
        <v>265</v>
      </c>
      <c r="B31" s="1" t="s">
        <v>86</v>
      </c>
      <c r="C31" s="1" t="s">
        <v>266</v>
      </c>
      <c r="D31" s="1" t="s">
        <v>31</v>
      </c>
      <c r="E31" s="1" t="s">
        <v>32</v>
      </c>
      <c r="F31" s="1" t="s">
        <v>263</v>
      </c>
      <c r="G31" s="1" t="s">
        <v>267</v>
      </c>
      <c r="H31" s="1" t="s">
        <v>268</v>
      </c>
      <c r="I31" s="1" t="s">
        <v>269</v>
      </c>
      <c r="J31" s="1"/>
      <c r="K31" s="1" t="s">
        <v>13</v>
      </c>
      <c r="L31" s="1"/>
      <c r="M31" s="1"/>
      <c r="N31" s="6"/>
    </row>
    <row r="32" spans="1:14" ht="28.5">
      <c r="A32" s="5" t="s">
        <v>270</v>
      </c>
      <c r="B32" s="1" t="s">
        <v>86</v>
      </c>
      <c r="C32" s="1" t="s">
        <v>92</v>
      </c>
      <c r="D32" s="1" t="s">
        <v>31</v>
      </c>
      <c r="E32" s="1" t="s">
        <v>32</v>
      </c>
      <c r="F32" s="1" t="s">
        <v>263</v>
      </c>
      <c r="G32" s="1" t="s">
        <v>93</v>
      </c>
      <c r="H32" s="1" t="s">
        <v>94</v>
      </c>
      <c r="I32" s="1" t="s">
        <v>271</v>
      </c>
      <c r="J32" s="1"/>
      <c r="K32" s="1" t="s">
        <v>13</v>
      </c>
      <c r="L32" s="1"/>
      <c r="M32" s="1"/>
      <c r="N32" s="6"/>
    </row>
    <row r="33" spans="1:14" ht="28.5">
      <c r="A33" s="5" t="s">
        <v>272</v>
      </c>
      <c r="B33" s="1" t="s">
        <v>86</v>
      </c>
      <c r="C33" s="1" t="s">
        <v>95</v>
      </c>
      <c r="D33" s="1" t="s">
        <v>31</v>
      </c>
      <c r="E33" s="1" t="s">
        <v>32</v>
      </c>
      <c r="F33" s="1" t="s">
        <v>263</v>
      </c>
      <c r="G33" s="1" t="s">
        <v>96</v>
      </c>
      <c r="H33" s="1" t="s">
        <v>97</v>
      </c>
      <c r="I33" s="1" t="s">
        <v>273</v>
      </c>
      <c r="J33" s="1"/>
      <c r="K33" s="1" t="s">
        <v>13</v>
      </c>
      <c r="L33" s="1"/>
      <c r="M33" s="1"/>
      <c r="N33" s="6"/>
    </row>
    <row r="34" spans="1:14" ht="42.75">
      <c r="A34" s="5" t="s">
        <v>274</v>
      </c>
      <c r="B34" s="1" t="s">
        <v>86</v>
      </c>
      <c r="C34" s="1" t="s">
        <v>275</v>
      </c>
      <c r="D34" s="1" t="s">
        <v>31</v>
      </c>
      <c r="E34" s="1" t="s">
        <v>32</v>
      </c>
      <c r="F34" s="1" t="s">
        <v>98</v>
      </c>
      <c r="G34" s="1" t="s">
        <v>276</v>
      </c>
      <c r="H34" s="1" t="s">
        <v>277</v>
      </c>
      <c r="I34" s="1" t="s">
        <v>278</v>
      </c>
      <c r="J34" s="1"/>
      <c r="K34" s="1" t="s">
        <v>13</v>
      </c>
      <c r="L34" s="1"/>
      <c r="M34" s="1"/>
      <c r="N34" s="6"/>
    </row>
    <row r="35" spans="1:14" ht="28.5">
      <c r="A35" s="5" t="s">
        <v>279</v>
      </c>
      <c r="B35" s="1" t="s">
        <v>99</v>
      </c>
      <c r="C35" s="1" t="s">
        <v>100</v>
      </c>
      <c r="D35" s="1" t="s">
        <v>31</v>
      </c>
      <c r="E35" s="1" t="s">
        <v>32</v>
      </c>
      <c r="F35" s="1" t="s">
        <v>101</v>
      </c>
      <c r="G35" s="1" t="s">
        <v>280</v>
      </c>
      <c r="H35" s="1" t="s">
        <v>102</v>
      </c>
      <c r="I35" s="1" t="s">
        <v>281</v>
      </c>
      <c r="J35" s="1"/>
      <c r="K35" s="1" t="s">
        <v>13</v>
      </c>
      <c r="L35" s="1"/>
      <c r="M35" s="1"/>
      <c r="N35" s="6"/>
    </row>
    <row r="36" spans="1:14" ht="28.5">
      <c r="A36" s="5" t="s">
        <v>282</v>
      </c>
      <c r="B36" s="1" t="s">
        <v>99</v>
      </c>
      <c r="C36" s="1" t="s">
        <v>103</v>
      </c>
      <c r="D36" s="1" t="s">
        <v>44</v>
      </c>
      <c r="E36" s="1" t="s">
        <v>32</v>
      </c>
      <c r="F36" s="1" t="s">
        <v>283</v>
      </c>
      <c r="G36" s="1" t="s">
        <v>284</v>
      </c>
      <c r="H36" s="1" t="s">
        <v>104</v>
      </c>
      <c r="I36" s="1" t="s">
        <v>105</v>
      </c>
      <c r="J36" s="1"/>
      <c r="K36" s="1" t="s">
        <v>13</v>
      </c>
      <c r="L36" s="1"/>
      <c r="M36" s="1"/>
      <c r="N36" s="6"/>
    </row>
    <row r="37" spans="1:14" ht="28.5">
      <c r="A37" s="5" t="s">
        <v>285</v>
      </c>
      <c r="B37" s="1" t="s">
        <v>99</v>
      </c>
      <c r="C37" s="1" t="s">
        <v>286</v>
      </c>
      <c r="D37" s="1" t="s">
        <v>31</v>
      </c>
      <c r="E37" s="1" t="s">
        <v>32</v>
      </c>
      <c r="F37" s="1" t="s">
        <v>287</v>
      </c>
      <c r="G37" s="1" t="s">
        <v>288</v>
      </c>
      <c r="H37" s="1" t="s">
        <v>289</v>
      </c>
      <c r="I37" s="1" t="s">
        <v>290</v>
      </c>
      <c r="J37" s="1"/>
      <c r="K37" s="1" t="s">
        <v>13</v>
      </c>
      <c r="L37" s="1"/>
      <c r="M37" s="1"/>
      <c r="N37" s="6"/>
    </row>
    <row r="38" spans="1:14" ht="28.5">
      <c r="A38" s="5" t="s">
        <v>291</v>
      </c>
      <c r="B38" s="1" t="s">
        <v>99</v>
      </c>
      <c r="C38" s="1" t="s">
        <v>106</v>
      </c>
      <c r="D38" s="1" t="s">
        <v>31</v>
      </c>
      <c r="E38" s="1" t="s">
        <v>32</v>
      </c>
      <c r="F38" s="1" t="s">
        <v>292</v>
      </c>
      <c r="G38" s="1" t="s">
        <v>293</v>
      </c>
      <c r="H38" s="1" t="s">
        <v>294</v>
      </c>
      <c r="I38" s="1" t="s">
        <v>295</v>
      </c>
      <c r="J38" s="1"/>
      <c r="K38" s="1" t="s">
        <v>13</v>
      </c>
      <c r="L38" s="1"/>
      <c r="M38" s="1"/>
      <c r="N38" s="6"/>
    </row>
    <row r="39" spans="1:14" ht="28.5">
      <c r="A39" s="5" t="s">
        <v>296</v>
      </c>
      <c r="B39" s="1" t="s">
        <v>99</v>
      </c>
      <c r="C39" s="1" t="s">
        <v>107</v>
      </c>
      <c r="D39" s="1" t="s">
        <v>44</v>
      </c>
      <c r="E39" s="1" t="s">
        <v>32</v>
      </c>
      <c r="F39" s="1" t="s">
        <v>108</v>
      </c>
      <c r="G39" s="1" t="s">
        <v>297</v>
      </c>
      <c r="H39" s="1" t="s">
        <v>109</v>
      </c>
      <c r="I39" s="1" t="s">
        <v>298</v>
      </c>
      <c r="J39" s="1"/>
      <c r="K39" s="1" t="s">
        <v>13</v>
      </c>
      <c r="L39" s="1"/>
      <c r="M39" s="1"/>
      <c r="N39" s="6"/>
    </row>
    <row r="40" spans="1:14" ht="28.5">
      <c r="A40" s="5" t="s">
        <v>299</v>
      </c>
      <c r="B40" s="1" t="s">
        <v>99</v>
      </c>
      <c r="C40" s="1" t="s">
        <v>110</v>
      </c>
      <c r="D40" s="1" t="s">
        <v>44</v>
      </c>
      <c r="E40" s="1" t="s">
        <v>32</v>
      </c>
      <c r="F40" s="1" t="s">
        <v>111</v>
      </c>
      <c r="G40" s="1" t="s">
        <v>300</v>
      </c>
      <c r="H40" s="1" t="s">
        <v>112</v>
      </c>
      <c r="I40" s="1" t="s">
        <v>301</v>
      </c>
      <c r="J40" s="1"/>
      <c r="K40" s="1" t="s">
        <v>13</v>
      </c>
      <c r="L40" s="1"/>
      <c r="M40" s="1"/>
      <c r="N40" s="6"/>
    </row>
    <row r="41" spans="1:14" ht="28.5">
      <c r="A41" s="5" t="s">
        <v>302</v>
      </c>
      <c r="B41" s="1" t="s">
        <v>99</v>
      </c>
      <c r="C41" s="1" t="s">
        <v>113</v>
      </c>
      <c r="D41" s="1" t="s">
        <v>31</v>
      </c>
      <c r="E41" s="1" t="s">
        <v>32</v>
      </c>
      <c r="F41" s="1" t="s">
        <v>303</v>
      </c>
      <c r="G41" s="1" t="s">
        <v>304</v>
      </c>
      <c r="H41" s="1" t="s">
        <v>305</v>
      </c>
      <c r="I41" s="1" t="s">
        <v>306</v>
      </c>
      <c r="J41" s="1"/>
      <c r="K41" s="1" t="s">
        <v>13</v>
      </c>
      <c r="L41" s="1"/>
      <c r="M41" s="1"/>
      <c r="N41" s="6"/>
    </row>
    <row r="42" spans="1:14" ht="28.5">
      <c r="A42" s="5" t="s">
        <v>307</v>
      </c>
      <c r="B42" s="1" t="s">
        <v>99</v>
      </c>
      <c r="C42" s="1" t="s">
        <v>114</v>
      </c>
      <c r="D42" s="1" t="s">
        <v>44</v>
      </c>
      <c r="E42" s="1" t="s">
        <v>50</v>
      </c>
      <c r="F42" s="1" t="s">
        <v>308</v>
      </c>
      <c r="G42" s="1" t="s">
        <v>309</v>
      </c>
      <c r="H42" s="1" t="s">
        <v>310</v>
      </c>
      <c r="I42" s="1" t="s">
        <v>311</v>
      </c>
      <c r="J42" s="1"/>
      <c r="K42" s="1" t="s">
        <v>13</v>
      </c>
      <c r="L42" s="1"/>
      <c r="M42" s="1"/>
      <c r="N42" s="6"/>
    </row>
    <row r="43" spans="1:14" ht="28.5">
      <c r="A43" s="5" t="s">
        <v>312</v>
      </c>
      <c r="B43" s="1" t="s">
        <v>99</v>
      </c>
      <c r="C43" s="1" t="s">
        <v>115</v>
      </c>
      <c r="D43" s="1" t="s">
        <v>116</v>
      </c>
      <c r="E43" s="1" t="s">
        <v>50</v>
      </c>
      <c r="F43" s="1" t="s">
        <v>313</v>
      </c>
      <c r="G43" s="1" t="s">
        <v>314</v>
      </c>
      <c r="H43" s="1" t="s">
        <v>117</v>
      </c>
      <c r="I43" s="1" t="s">
        <v>315</v>
      </c>
      <c r="J43" s="1"/>
      <c r="K43" s="1" t="s">
        <v>13</v>
      </c>
      <c r="L43" s="1"/>
      <c r="M43" s="1"/>
      <c r="N43" s="6"/>
    </row>
    <row r="44" spans="1:14" ht="28.5">
      <c r="A44" s="5" t="s">
        <v>316</v>
      </c>
      <c r="B44" s="1" t="s">
        <v>118</v>
      </c>
      <c r="C44" s="1" t="s">
        <v>119</v>
      </c>
      <c r="D44" s="1" t="s">
        <v>31</v>
      </c>
      <c r="E44" s="1" t="s">
        <v>32</v>
      </c>
      <c r="F44" s="1" t="s">
        <v>120</v>
      </c>
      <c r="G44" s="1" t="s">
        <v>317</v>
      </c>
      <c r="H44" s="1" t="s">
        <v>318</v>
      </c>
      <c r="I44" s="1" t="s">
        <v>319</v>
      </c>
      <c r="J44" s="1"/>
      <c r="K44" s="1" t="s">
        <v>13</v>
      </c>
      <c r="L44" s="1"/>
      <c r="M44" s="1"/>
      <c r="N44" s="6"/>
    </row>
    <row r="45" spans="1:14" ht="28.5">
      <c r="A45" s="5" t="s">
        <v>320</v>
      </c>
      <c r="B45" s="1" t="s">
        <v>118</v>
      </c>
      <c r="C45" s="1" t="s">
        <v>121</v>
      </c>
      <c r="D45" s="1" t="s">
        <v>31</v>
      </c>
      <c r="E45" s="1" t="s">
        <v>32</v>
      </c>
      <c r="F45" s="1" t="s">
        <v>122</v>
      </c>
      <c r="G45" s="1" t="s">
        <v>321</v>
      </c>
      <c r="H45" s="1" t="s">
        <v>123</v>
      </c>
      <c r="I45" s="1" t="s">
        <v>322</v>
      </c>
      <c r="J45" s="1"/>
      <c r="K45" s="1" t="s">
        <v>13</v>
      </c>
      <c r="L45" s="1"/>
      <c r="M45" s="1"/>
      <c r="N45" s="6"/>
    </row>
    <row r="46" spans="1:14" ht="28.5">
      <c r="A46" s="5" t="s">
        <v>323</v>
      </c>
      <c r="B46" s="1" t="s">
        <v>118</v>
      </c>
      <c r="C46" s="1" t="s">
        <v>124</v>
      </c>
      <c r="D46" s="1" t="s">
        <v>44</v>
      </c>
      <c r="E46" s="1" t="s">
        <v>32</v>
      </c>
      <c r="F46" s="1" t="s">
        <v>324</v>
      </c>
      <c r="G46" s="1" t="s">
        <v>325</v>
      </c>
      <c r="H46" s="1" t="s">
        <v>125</v>
      </c>
      <c r="I46" s="1" t="s">
        <v>326</v>
      </c>
      <c r="J46" s="1"/>
      <c r="K46" s="1" t="s">
        <v>13</v>
      </c>
      <c r="L46" s="1"/>
      <c r="M46" s="1"/>
      <c r="N46" s="6"/>
    </row>
    <row r="47" spans="1:14" ht="28.5">
      <c r="A47" s="5" t="s">
        <v>327</v>
      </c>
      <c r="B47" s="1" t="s">
        <v>118</v>
      </c>
      <c r="C47" s="1" t="s">
        <v>126</v>
      </c>
      <c r="D47" s="1" t="s">
        <v>44</v>
      </c>
      <c r="E47" s="1" t="s">
        <v>50</v>
      </c>
      <c r="F47" s="1" t="s">
        <v>127</v>
      </c>
      <c r="G47" s="1" t="s">
        <v>328</v>
      </c>
      <c r="H47" s="1" t="s">
        <v>128</v>
      </c>
      <c r="I47" s="1" t="s">
        <v>329</v>
      </c>
      <c r="J47" s="1"/>
      <c r="K47" s="1" t="s">
        <v>13</v>
      </c>
      <c r="L47" s="1"/>
      <c r="M47" s="1"/>
      <c r="N47" s="6"/>
    </row>
    <row r="48" spans="1:14" ht="28.5">
      <c r="A48" s="5" t="s">
        <v>330</v>
      </c>
      <c r="B48" s="1" t="s">
        <v>118</v>
      </c>
      <c r="C48" s="1" t="s">
        <v>129</v>
      </c>
      <c r="D48" s="1" t="s">
        <v>44</v>
      </c>
      <c r="E48" s="1" t="s">
        <v>50</v>
      </c>
      <c r="F48" s="1" t="s">
        <v>331</v>
      </c>
      <c r="G48" s="1" t="s">
        <v>332</v>
      </c>
      <c r="H48" s="1" t="s">
        <v>130</v>
      </c>
      <c r="I48" s="1" t="s">
        <v>333</v>
      </c>
      <c r="J48" s="1"/>
      <c r="K48" s="1" t="s">
        <v>13</v>
      </c>
      <c r="L48" s="1"/>
      <c r="M48" s="1"/>
      <c r="N48" s="6"/>
    </row>
    <row r="49" spans="1:14" ht="28.5">
      <c r="A49" s="5" t="s">
        <v>334</v>
      </c>
      <c r="B49" s="1" t="s">
        <v>118</v>
      </c>
      <c r="C49" s="1" t="s">
        <v>131</v>
      </c>
      <c r="D49" s="1" t="s">
        <v>31</v>
      </c>
      <c r="E49" s="1" t="s">
        <v>32</v>
      </c>
      <c r="F49" s="1" t="s">
        <v>335</v>
      </c>
      <c r="G49" s="1" t="s">
        <v>336</v>
      </c>
      <c r="H49" s="1" t="s">
        <v>337</v>
      </c>
      <c r="I49" s="1" t="s">
        <v>338</v>
      </c>
      <c r="J49" s="1"/>
      <c r="K49" s="1" t="s">
        <v>13</v>
      </c>
      <c r="L49" s="1"/>
      <c r="M49" s="1"/>
      <c r="N49" s="6"/>
    </row>
    <row r="50" spans="1:14" ht="28.5">
      <c r="A50" s="5" t="s">
        <v>339</v>
      </c>
      <c r="B50" s="1" t="s">
        <v>118</v>
      </c>
      <c r="C50" s="1" t="s">
        <v>132</v>
      </c>
      <c r="D50" s="1" t="s">
        <v>116</v>
      </c>
      <c r="E50" s="1" t="s">
        <v>50</v>
      </c>
      <c r="F50" s="1" t="s">
        <v>340</v>
      </c>
      <c r="G50" s="1" t="s">
        <v>341</v>
      </c>
      <c r="H50" s="1" t="s">
        <v>342</v>
      </c>
      <c r="I50" s="1" t="s">
        <v>343</v>
      </c>
      <c r="J50" s="1"/>
      <c r="K50" s="1" t="s">
        <v>13</v>
      </c>
      <c r="L50" s="1"/>
      <c r="M50" s="1"/>
      <c r="N50" s="6"/>
    </row>
    <row r="51" spans="1:14" ht="42.75">
      <c r="A51" s="5" t="s">
        <v>344</v>
      </c>
      <c r="B51" s="1" t="s">
        <v>133</v>
      </c>
      <c r="C51" s="1" t="s">
        <v>134</v>
      </c>
      <c r="D51" s="1" t="s">
        <v>44</v>
      </c>
      <c r="E51" s="1" t="s">
        <v>32</v>
      </c>
      <c r="F51" s="1" t="s">
        <v>135</v>
      </c>
      <c r="G51" s="1" t="s">
        <v>345</v>
      </c>
      <c r="H51" s="1" t="s">
        <v>136</v>
      </c>
      <c r="I51" s="1" t="s">
        <v>346</v>
      </c>
      <c r="J51" s="1"/>
      <c r="K51" s="1" t="s">
        <v>13</v>
      </c>
      <c r="L51" s="1"/>
      <c r="M51" s="1"/>
      <c r="N51" s="6"/>
    </row>
    <row r="52" spans="1:14" ht="28.5">
      <c r="A52" s="5" t="s">
        <v>347</v>
      </c>
      <c r="B52" s="1" t="s">
        <v>133</v>
      </c>
      <c r="C52" s="1" t="s">
        <v>137</v>
      </c>
      <c r="D52" s="1" t="s">
        <v>116</v>
      </c>
      <c r="E52" s="1" t="s">
        <v>50</v>
      </c>
      <c r="F52" s="1" t="s">
        <v>348</v>
      </c>
      <c r="G52" s="1" t="s">
        <v>349</v>
      </c>
      <c r="H52" s="1" t="s">
        <v>138</v>
      </c>
      <c r="I52" s="1" t="s">
        <v>350</v>
      </c>
      <c r="J52" s="1"/>
      <c r="K52" s="1" t="s">
        <v>13</v>
      </c>
      <c r="L52" s="1"/>
      <c r="M52" s="1"/>
      <c r="N52" s="6"/>
    </row>
    <row r="53" spans="1:14" ht="28.5">
      <c r="A53" s="5" t="s">
        <v>351</v>
      </c>
      <c r="B53" s="1" t="s">
        <v>139</v>
      </c>
      <c r="C53" s="1" t="s">
        <v>140</v>
      </c>
      <c r="D53" s="1" t="s">
        <v>44</v>
      </c>
      <c r="E53" s="1" t="s">
        <v>50</v>
      </c>
      <c r="F53" s="1" t="s">
        <v>352</v>
      </c>
      <c r="G53" s="1" t="s">
        <v>353</v>
      </c>
      <c r="H53" s="1" t="s">
        <v>141</v>
      </c>
      <c r="I53" s="1" t="s">
        <v>354</v>
      </c>
      <c r="J53" s="1"/>
      <c r="K53" s="1" t="s">
        <v>13</v>
      </c>
      <c r="L53" s="1"/>
      <c r="M53" s="1"/>
      <c r="N53" s="6"/>
    </row>
    <row r="54" spans="1:14" ht="57">
      <c r="A54" s="5" t="s">
        <v>355</v>
      </c>
      <c r="B54" s="1" t="s">
        <v>139</v>
      </c>
      <c r="C54" s="1" t="s">
        <v>142</v>
      </c>
      <c r="D54" s="1" t="s">
        <v>31</v>
      </c>
      <c r="E54" s="1" t="s">
        <v>32</v>
      </c>
      <c r="F54" s="1" t="s">
        <v>143</v>
      </c>
      <c r="G54" s="1" t="s">
        <v>356</v>
      </c>
      <c r="H54" s="1" t="s">
        <v>357</v>
      </c>
      <c r="I54" s="1" t="s">
        <v>358</v>
      </c>
      <c r="J54" s="1"/>
      <c r="K54" s="1" t="s">
        <v>13</v>
      </c>
      <c r="L54" s="1"/>
      <c r="M54" s="1"/>
      <c r="N54" s="6"/>
    </row>
    <row r="55" spans="1:14" ht="42.75">
      <c r="A55" s="5" t="s">
        <v>359</v>
      </c>
      <c r="B55" s="1" t="s">
        <v>139</v>
      </c>
      <c r="C55" s="1" t="s">
        <v>144</v>
      </c>
      <c r="D55" s="1" t="s">
        <v>31</v>
      </c>
      <c r="E55" s="1" t="s">
        <v>32</v>
      </c>
      <c r="F55" s="1" t="s">
        <v>360</v>
      </c>
      <c r="G55" s="1" t="s">
        <v>361</v>
      </c>
      <c r="H55" s="1" t="s">
        <v>145</v>
      </c>
      <c r="I55" s="1" t="s">
        <v>362</v>
      </c>
      <c r="J55" s="1"/>
      <c r="K55" s="1" t="s">
        <v>13</v>
      </c>
      <c r="L55" s="1"/>
      <c r="M55" s="1"/>
      <c r="N55" s="6"/>
    </row>
    <row r="56" spans="1:14" ht="57">
      <c r="A56" s="5" t="s">
        <v>363</v>
      </c>
      <c r="B56" s="1" t="s">
        <v>139</v>
      </c>
      <c r="C56" s="1" t="s">
        <v>146</v>
      </c>
      <c r="D56" s="1" t="s">
        <v>44</v>
      </c>
      <c r="E56" s="1" t="s">
        <v>50</v>
      </c>
      <c r="F56" s="1" t="s">
        <v>147</v>
      </c>
      <c r="G56" s="1" t="s">
        <v>364</v>
      </c>
      <c r="H56" s="1" t="s">
        <v>148</v>
      </c>
      <c r="I56" s="1" t="s">
        <v>365</v>
      </c>
      <c r="J56" s="1"/>
      <c r="K56" s="1" t="s">
        <v>13</v>
      </c>
      <c r="L56" s="1"/>
      <c r="M56" s="1"/>
      <c r="N56" s="6"/>
    </row>
    <row r="57" spans="1:14" ht="28.5">
      <c r="A57" s="5" t="s">
        <v>366</v>
      </c>
      <c r="B57" s="1" t="s">
        <v>139</v>
      </c>
      <c r="C57" s="1" t="s">
        <v>149</v>
      </c>
      <c r="D57" s="1" t="s">
        <v>31</v>
      </c>
      <c r="E57" s="1" t="s">
        <v>32</v>
      </c>
      <c r="F57" s="1" t="s">
        <v>150</v>
      </c>
      <c r="G57" s="1" t="s">
        <v>367</v>
      </c>
      <c r="H57" s="1" t="s">
        <v>368</v>
      </c>
      <c r="I57" s="1" t="s">
        <v>369</v>
      </c>
      <c r="J57" s="1"/>
      <c r="K57" s="1" t="s">
        <v>13</v>
      </c>
      <c r="L57" s="1"/>
      <c r="M57" s="1"/>
      <c r="N57" s="6"/>
    </row>
    <row r="58" spans="1:14" ht="28.5">
      <c r="A58" s="7" t="s">
        <v>370</v>
      </c>
      <c r="B58" s="8" t="s">
        <v>151</v>
      </c>
      <c r="C58" s="8" t="s">
        <v>152</v>
      </c>
      <c r="D58" s="8" t="s">
        <v>31</v>
      </c>
      <c r="E58" s="8" t="s">
        <v>32</v>
      </c>
      <c r="F58" s="8" t="s">
        <v>153</v>
      </c>
      <c r="G58" s="8" t="s">
        <v>371</v>
      </c>
      <c r="H58" s="8" t="s">
        <v>154</v>
      </c>
      <c r="I58" s="8" t="s">
        <v>372</v>
      </c>
      <c r="J58" s="8"/>
      <c r="K58" s="8" t="s">
        <v>13</v>
      </c>
      <c r="L58" s="8"/>
      <c r="M58" s="8"/>
      <c r="N58" s="9"/>
    </row>
  </sheetData>
  <conditionalFormatting sqref="E2:E58">
    <cfRule type="expression" dxfId="5" priority="6">
      <formula>E2="Ja"</formula>
    </cfRule>
  </conditionalFormatting>
  <conditionalFormatting sqref="K2:K58">
    <cfRule type="expression" dxfId="4" priority="1">
      <formula>K2="Bestått"</formula>
    </cfRule>
    <cfRule type="expression" dxfId="3" priority="2">
      <formula>K2="Feilet"</formula>
    </cfRule>
    <cfRule type="expression" dxfId="2" priority="3">
      <formula>K2="Pågår"</formula>
    </cfRule>
    <cfRule type="expression" dxfId="1" priority="4">
      <formula>K2="Blokkert"</formula>
    </cfRule>
    <cfRule type="expression" dxfId="0" priority="5">
      <formula>K2="Ikke relevant"</formula>
    </cfRule>
  </conditionalFormatting>
  <dataValidations count="3">
    <dataValidation type="list" sqref="D2:D58" xr:uid="{00000000-0002-0000-0200-000000000000}">
      <formula1>"Kritisk,Høy,Medium,Lav"</formula1>
    </dataValidation>
    <dataValidation type="list" sqref="E2:E58" xr:uid="{00000000-0002-0000-0200-000001000000}">
      <formula1>"Ja,Nei"</formula1>
    </dataValidation>
    <dataValidation type="list" sqref="K2:K58" xr:uid="{00000000-0002-0000-0200-000002000000}">
      <formula1>"Ikke startet,Pågår,Bestått,Feilet,Blokkert,Ikke relevant"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Oversikt</vt:lpstr>
      <vt:lpstr>NO-MPLS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moknen</cp:lastModifiedBy>
  <dcterms:modified xsi:type="dcterms:W3CDTF">2026-09-12T19:26:31Z</dcterms:modified>
</cp:coreProperties>
</file>